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ekaterinabarbasina/Desktop/из почты/сборка/"/>
    </mc:Choice>
  </mc:AlternateContent>
  <xr:revisionPtr revIDLastSave="0" documentId="13_ncr:1_{CB7C5008-A9AD-1048-9C0D-DE90FDB977CD}" xr6:coauthVersionLast="47" xr6:coauthVersionMax="47" xr10:uidLastSave="{00000000-0000-0000-0000-000000000000}"/>
  <bookViews>
    <workbookView xWindow="0" yWindow="0" windowWidth="33600" windowHeight="21000" activeTab="1" xr2:uid="{00000000-000D-0000-FFFF-FFFF00000000}"/>
  </bookViews>
  <sheets>
    <sheet name="LCL" sheetId="1" r:id="rId1"/>
    <sheet name="LT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2" l="1"/>
  <c r="J63" i="2"/>
  <c r="I63" i="2"/>
  <c r="H63" i="2"/>
  <c r="K62" i="2"/>
  <c r="J62" i="2"/>
  <c r="I62" i="2"/>
  <c r="H62" i="2"/>
  <c r="K61" i="2"/>
  <c r="J61" i="2"/>
  <c r="I61" i="2"/>
  <c r="H61" i="2"/>
  <c r="K60" i="2"/>
  <c r="J60" i="2"/>
  <c r="I60" i="2"/>
  <c r="H60" i="2"/>
  <c r="K59" i="2"/>
  <c r="J59" i="2"/>
  <c r="I59" i="2"/>
  <c r="H59" i="2"/>
  <c r="K58" i="2"/>
  <c r="J58" i="2"/>
  <c r="I58" i="2"/>
  <c r="H58" i="2"/>
  <c r="K57" i="2"/>
  <c r="J57" i="2"/>
  <c r="I57" i="2"/>
  <c r="H57" i="2"/>
  <c r="K56" i="2"/>
  <c r="J56" i="2"/>
  <c r="I56" i="2"/>
  <c r="H56" i="2"/>
  <c r="K55" i="2"/>
  <c r="J55" i="2"/>
  <c r="I55" i="2"/>
  <c r="H55" i="2"/>
  <c r="K54" i="2"/>
  <c r="J54" i="2"/>
  <c r="I54" i="2"/>
  <c r="H54" i="2"/>
  <c r="K53" i="2"/>
  <c r="J53" i="2"/>
  <c r="I53" i="2"/>
  <c r="H53" i="2"/>
  <c r="K52" i="2"/>
  <c r="J52" i="2"/>
  <c r="I52" i="2"/>
  <c r="H52" i="2"/>
  <c r="K51" i="2"/>
  <c r="J51" i="2"/>
  <c r="I51" i="2"/>
  <c r="H51" i="2"/>
  <c r="K50" i="2"/>
  <c r="J50" i="2"/>
  <c r="I50" i="2"/>
  <c r="H50" i="2"/>
  <c r="K49" i="2"/>
  <c r="J49" i="2"/>
  <c r="I49" i="2"/>
  <c r="H49" i="2"/>
  <c r="K48" i="2"/>
  <c r="J48" i="2"/>
  <c r="I48" i="2"/>
  <c r="H48" i="2"/>
  <c r="K47" i="2"/>
  <c r="J47" i="2"/>
  <c r="I47" i="2"/>
  <c r="H47" i="2"/>
  <c r="K46" i="2"/>
  <c r="J46" i="2"/>
  <c r="I46" i="2"/>
  <c r="H46" i="2"/>
  <c r="K45" i="2"/>
  <c r="J45" i="2"/>
  <c r="I45" i="2"/>
  <c r="H45" i="2"/>
  <c r="K44" i="2"/>
  <c r="J44" i="2"/>
  <c r="I44" i="2"/>
  <c r="H44" i="2"/>
  <c r="K43" i="2"/>
  <c r="J43" i="2"/>
  <c r="I43" i="2"/>
  <c r="H43" i="2"/>
  <c r="K42" i="2"/>
  <c r="J42" i="2"/>
  <c r="I42" i="2"/>
  <c r="H42" i="2"/>
  <c r="K41" i="2"/>
  <c r="J41" i="2"/>
  <c r="I41" i="2"/>
  <c r="H41" i="2"/>
  <c r="K40" i="2"/>
  <c r="J40" i="2"/>
  <c r="I40" i="2"/>
  <c r="H40" i="2"/>
  <c r="K39" i="2"/>
  <c r="J39" i="2"/>
  <c r="I39" i="2"/>
  <c r="H39" i="2"/>
  <c r="K38" i="2"/>
  <c r="J38" i="2"/>
  <c r="I38" i="2"/>
  <c r="H38" i="2"/>
  <c r="K37" i="2"/>
  <c r="J37" i="2"/>
  <c r="I37" i="2"/>
  <c r="H37" i="2"/>
  <c r="K36" i="2"/>
  <c r="J36" i="2"/>
  <c r="I36" i="2"/>
  <c r="H36" i="2"/>
  <c r="K35" i="2"/>
  <c r="J35" i="2"/>
  <c r="I35" i="2"/>
  <c r="H35" i="2"/>
  <c r="K34" i="2"/>
  <c r="J34" i="2"/>
  <c r="I34" i="2"/>
  <c r="H34" i="2"/>
  <c r="K33" i="2"/>
  <c r="J33" i="2"/>
  <c r="I33" i="2"/>
  <c r="H33" i="2"/>
  <c r="K32" i="2"/>
  <c r="J32" i="2"/>
  <c r="I32" i="2"/>
  <c r="H32" i="2"/>
  <c r="K31" i="2"/>
  <c r="J31" i="2"/>
  <c r="I31" i="2"/>
  <c r="H31" i="2"/>
  <c r="K30" i="2"/>
  <c r="J30" i="2"/>
  <c r="I30" i="2"/>
  <c r="H30" i="2"/>
  <c r="K29" i="2"/>
  <c r="J29" i="2"/>
  <c r="I29" i="2"/>
  <c r="H29" i="2"/>
  <c r="K28" i="2"/>
  <c r="J28" i="2"/>
  <c r="I28" i="2"/>
  <c r="H28" i="2"/>
  <c r="K27" i="2"/>
  <c r="J27" i="2"/>
  <c r="I27" i="2"/>
  <c r="H27" i="2"/>
  <c r="K26" i="2"/>
  <c r="J26" i="2"/>
  <c r="I26" i="2"/>
  <c r="H26" i="2"/>
  <c r="K25" i="2"/>
  <c r="J25" i="2"/>
  <c r="I25" i="2"/>
  <c r="H25" i="2"/>
  <c r="K24" i="2"/>
  <c r="J24" i="2"/>
  <c r="I24" i="2"/>
  <c r="H24" i="2"/>
  <c r="K23" i="2"/>
  <c r="J23" i="2"/>
  <c r="I23" i="2"/>
  <c r="H23" i="2"/>
  <c r="K22" i="2"/>
  <c r="J22" i="2"/>
  <c r="I22" i="2"/>
  <c r="H22" i="2"/>
  <c r="K21" i="2"/>
  <c r="J21" i="2"/>
  <c r="I21" i="2"/>
  <c r="H21" i="2"/>
  <c r="K20" i="2"/>
  <c r="J20" i="2"/>
  <c r="I20" i="2"/>
  <c r="H20" i="2"/>
  <c r="K115" i="1"/>
  <c r="J115" i="1"/>
  <c r="I115" i="1"/>
  <c r="H115" i="1"/>
  <c r="K114" i="1"/>
  <c r="J114" i="1"/>
  <c r="I114" i="1"/>
  <c r="H114" i="1"/>
  <c r="K113" i="1"/>
  <c r="J113" i="1"/>
  <c r="I113" i="1"/>
  <c r="H113" i="1"/>
  <c r="K112" i="1"/>
  <c r="J112" i="1"/>
  <c r="I112" i="1"/>
  <c r="H112" i="1"/>
  <c r="K111" i="1"/>
  <c r="J111" i="1"/>
  <c r="I111" i="1"/>
  <c r="H111" i="1"/>
  <c r="K110" i="1"/>
  <c r="J110" i="1"/>
  <c r="I110" i="1"/>
  <c r="H110" i="1"/>
  <c r="K109" i="1"/>
  <c r="J109" i="1"/>
  <c r="I109" i="1"/>
  <c r="H109" i="1"/>
  <c r="K108" i="1"/>
  <c r="J108" i="1"/>
  <c r="I108" i="1"/>
  <c r="H108" i="1"/>
  <c r="K107" i="1"/>
  <c r="J107" i="1"/>
  <c r="I107" i="1"/>
  <c r="H107" i="1"/>
  <c r="K106" i="1"/>
  <c r="J106" i="1"/>
  <c r="I106" i="1"/>
  <c r="H106" i="1"/>
  <c r="K105" i="1"/>
  <c r="J105" i="1"/>
  <c r="I105" i="1"/>
  <c r="H105" i="1"/>
  <c r="K104" i="1"/>
  <c r="J104" i="1"/>
  <c r="I104" i="1"/>
  <c r="H104" i="1"/>
  <c r="K103" i="1"/>
  <c r="J103" i="1"/>
  <c r="I103" i="1"/>
  <c r="H103" i="1"/>
  <c r="K102" i="1"/>
  <c r="J102" i="1"/>
  <c r="I102" i="1"/>
  <c r="H102" i="1"/>
  <c r="K101" i="1"/>
  <c r="J101" i="1"/>
  <c r="I101" i="1"/>
  <c r="H101" i="1"/>
  <c r="K100" i="1"/>
  <c r="J100" i="1"/>
  <c r="I100" i="1"/>
  <c r="H100" i="1"/>
  <c r="K99" i="1"/>
  <c r="J99" i="1"/>
  <c r="I99" i="1"/>
  <c r="H99" i="1"/>
  <c r="K98" i="1"/>
  <c r="J98" i="1"/>
  <c r="I98" i="1"/>
  <c r="H98" i="1"/>
  <c r="K97" i="1"/>
  <c r="J97" i="1"/>
  <c r="I97" i="1"/>
  <c r="H97" i="1"/>
  <c r="K96" i="1"/>
  <c r="J96" i="1"/>
  <c r="I96" i="1"/>
  <c r="H96" i="1"/>
  <c r="K95" i="1"/>
  <c r="J95" i="1"/>
  <c r="I95" i="1"/>
  <c r="H95" i="1"/>
  <c r="K94" i="1"/>
  <c r="J94" i="1"/>
  <c r="I94" i="1"/>
  <c r="H94" i="1"/>
  <c r="K93" i="1"/>
  <c r="J93" i="1"/>
  <c r="I93" i="1"/>
  <c r="H93" i="1"/>
  <c r="K92" i="1"/>
  <c r="J92" i="1"/>
  <c r="I92" i="1"/>
  <c r="H92" i="1"/>
  <c r="K91" i="1"/>
  <c r="J91" i="1"/>
  <c r="I91" i="1"/>
  <c r="H91" i="1"/>
  <c r="K90" i="1"/>
  <c r="J90" i="1"/>
  <c r="I90" i="1"/>
  <c r="H90" i="1"/>
  <c r="K89" i="1"/>
  <c r="J89" i="1"/>
  <c r="I89" i="1"/>
  <c r="H89" i="1"/>
  <c r="K88" i="1"/>
  <c r="J88" i="1"/>
  <c r="I88" i="1"/>
  <c r="H88" i="1"/>
  <c r="K87" i="1"/>
  <c r="J87" i="1"/>
  <c r="I87" i="1"/>
  <c r="H87" i="1"/>
  <c r="K86" i="1"/>
  <c r="J86" i="1"/>
  <c r="I86" i="1"/>
  <c r="H86" i="1"/>
  <c r="K85" i="1"/>
  <c r="J85" i="1"/>
  <c r="I85" i="1"/>
  <c r="H85" i="1"/>
  <c r="K84" i="1"/>
  <c r="J84" i="1"/>
  <c r="I84" i="1"/>
  <c r="H84" i="1"/>
  <c r="K83" i="1"/>
  <c r="J83" i="1"/>
  <c r="I83" i="1"/>
  <c r="H83" i="1"/>
  <c r="K82" i="1"/>
  <c r="J82" i="1"/>
  <c r="I82" i="1"/>
  <c r="H82" i="1"/>
  <c r="K81" i="1"/>
  <c r="J81" i="1"/>
  <c r="I81" i="1"/>
  <c r="H81" i="1"/>
  <c r="K80" i="1"/>
  <c r="J80" i="1"/>
  <c r="I80" i="1"/>
  <c r="H80" i="1"/>
  <c r="K79" i="1"/>
  <c r="J79" i="1"/>
  <c r="I79" i="1"/>
  <c r="H79" i="1"/>
  <c r="K78" i="1"/>
  <c r="J78" i="1"/>
  <c r="I78" i="1"/>
  <c r="H78" i="1"/>
  <c r="K77" i="1"/>
  <c r="J77" i="1"/>
  <c r="I77" i="1"/>
  <c r="H77" i="1"/>
  <c r="K76" i="1"/>
  <c r="J76" i="1"/>
  <c r="I76" i="1"/>
  <c r="H76" i="1"/>
  <c r="K75" i="1"/>
  <c r="J75" i="1"/>
  <c r="I75" i="1"/>
  <c r="H75" i="1"/>
  <c r="K74" i="1"/>
  <c r="J74" i="1"/>
  <c r="I74" i="1"/>
  <c r="H74" i="1"/>
  <c r="K73" i="1"/>
  <c r="J73" i="1"/>
  <c r="I73" i="1"/>
  <c r="H73" i="1"/>
  <c r="K72" i="1"/>
  <c r="J72" i="1"/>
  <c r="I72" i="1"/>
  <c r="H72" i="1"/>
  <c r="K71" i="1"/>
  <c r="J71" i="1"/>
  <c r="I71" i="1"/>
  <c r="H71" i="1"/>
  <c r="K70" i="1"/>
  <c r="J70" i="1"/>
  <c r="I70" i="1"/>
  <c r="H70" i="1"/>
  <c r="K69" i="1"/>
  <c r="J69" i="1"/>
  <c r="I69" i="1"/>
  <c r="H69" i="1"/>
  <c r="K68" i="1"/>
  <c r="J68" i="1"/>
  <c r="I68" i="1"/>
  <c r="H68" i="1"/>
  <c r="K67" i="1"/>
  <c r="J67" i="1"/>
  <c r="I67" i="1"/>
  <c r="H67" i="1"/>
  <c r="K66" i="1"/>
  <c r="J66" i="1"/>
  <c r="I66" i="1"/>
  <c r="H66" i="1"/>
  <c r="K65" i="1"/>
  <c r="J65" i="1"/>
  <c r="I65" i="1"/>
  <c r="H65" i="1"/>
  <c r="K64" i="1"/>
  <c r="J64" i="1"/>
  <c r="I64" i="1"/>
  <c r="H64" i="1"/>
  <c r="K63" i="1"/>
  <c r="J63" i="1"/>
  <c r="I63" i="1"/>
  <c r="H63" i="1"/>
  <c r="K62" i="1"/>
  <c r="J62" i="1"/>
  <c r="I62" i="1"/>
  <c r="H62" i="1"/>
  <c r="K61" i="1"/>
  <c r="J61" i="1"/>
  <c r="I61" i="1"/>
  <c r="H61" i="1"/>
  <c r="K60" i="1"/>
  <c r="J60" i="1"/>
  <c r="I60" i="1"/>
  <c r="H60" i="1"/>
  <c r="K59" i="1"/>
  <c r="J59" i="1"/>
  <c r="I59" i="1"/>
  <c r="H59" i="1"/>
  <c r="K58" i="1"/>
  <c r="J58" i="1"/>
  <c r="I58" i="1"/>
  <c r="H58" i="1"/>
  <c r="K57" i="1"/>
  <c r="J57" i="1"/>
  <c r="I57" i="1"/>
  <c r="H57" i="1"/>
  <c r="K56" i="1"/>
  <c r="J56" i="1"/>
  <c r="I56" i="1"/>
  <c r="H56" i="1"/>
  <c r="K55" i="1"/>
  <c r="J55" i="1"/>
  <c r="I55" i="1"/>
  <c r="H55" i="1"/>
  <c r="K54" i="1"/>
  <c r="J54" i="1"/>
  <c r="I54" i="1"/>
  <c r="H54" i="1"/>
  <c r="K53" i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86182</author>
  </authors>
  <commentList>
    <comment ref="H16" authorId="0" shapeId="0" xr:uid="{00000000-0006-0000-0000-000001000000}">
      <text>
        <r>
          <rPr>
            <sz val="9"/>
            <rFont val="宋体"/>
            <charset val="134"/>
          </rPr>
          <t xml:space="preserve">Enter weight "T"
</t>
        </r>
      </text>
    </comment>
    <comment ref="I16" authorId="0" shapeId="0" xr:uid="{00000000-0006-0000-0000-000002000000}">
      <text>
        <r>
          <rPr>
            <sz val="9"/>
            <rFont val="宋体"/>
            <charset val="134"/>
          </rPr>
          <t xml:space="preserve">Enter volume "CBM"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86182</author>
  </authors>
  <commentList>
    <comment ref="H16" authorId="0" shapeId="0" xr:uid="{00000000-0006-0000-0100-000001000000}">
      <text>
        <r>
          <rPr>
            <sz val="9"/>
            <rFont val="宋体"/>
            <charset val="134"/>
          </rPr>
          <t xml:space="preserve">Enter weight "T"
</t>
        </r>
      </text>
    </comment>
    <comment ref="I16" authorId="0" shapeId="0" xr:uid="{00000000-0006-0000-0100-000002000000}">
      <text>
        <r>
          <rPr>
            <sz val="9"/>
            <rFont val="宋体"/>
            <charset val="134"/>
          </rPr>
          <t xml:space="preserve">Enter volume "CBM"
</t>
        </r>
      </text>
    </comment>
  </commentList>
</comments>
</file>

<file path=xl/sharedStrings.xml><?xml version="1.0" encoding="utf-8"?>
<sst xmlns="http://schemas.openxmlformats.org/spreadsheetml/2006/main" count="767" uniqueCount="60">
  <si>
    <t>LCL
(Minimum chargeable volume: 0.5CBM)
Volume:Weight 1:500</t>
  </si>
  <si>
    <r>
      <rPr>
        <sz val="11"/>
        <color theme="1"/>
        <rFont val="Calibri"/>
        <family val="2"/>
        <scheme val="minor"/>
      </rPr>
      <t xml:space="preserve">Cargo Weight
</t>
    </r>
    <r>
      <rPr>
        <b/>
        <sz val="11"/>
        <color rgb="FFFF0000"/>
        <rFont val="Calibri"/>
        <family val="2"/>
        <scheme val="minor"/>
      </rPr>
      <t>T</t>
    </r>
  </si>
  <si>
    <r>
      <rPr>
        <sz val="11"/>
        <color theme="1"/>
        <rFont val="Calibri"/>
        <family val="2"/>
        <scheme val="minor"/>
      </rPr>
      <t xml:space="preserve">Cargo Volume
</t>
    </r>
    <r>
      <rPr>
        <b/>
        <sz val="11"/>
        <color rgb="FFFF0000"/>
        <rFont val="Calibri"/>
        <family val="2"/>
        <scheme val="minor"/>
      </rPr>
      <t>CBM</t>
    </r>
  </si>
  <si>
    <t>EXW</t>
  </si>
  <si>
    <t>FOB</t>
  </si>
  <si>
    <t>Take the maximum as
Pick up fee(USD)</t>
  </si>
  <si>
    <t>Border</t>
  </si>
  <si>
    <t>TT</t>
  </si>
  <si>
    <r>
      <rPr>
        <b/>
        <sz val="11"/>
        <color theme="1"/>
        <rFont val="Times New Roman"/>
        <family val="1"/>
      </rPr>
      <t xml:space="preserve">Cargo Location
</t>
    </r>
    <r>
      <rPr>
        <b/>
        <sz val="11"/>
        <color rgb="FFFF0000"/>
        <rFont val="Times New Roman"/>
        <family val="1"/>
      </rPr>
      <t>(Province)</t>
    </r>
  </si>
  <si>
    <t>数值1</t>
  </si>
  <si>
    <t>数值2</t>
  </si>
  <si>
    <t>Departure Station</t>
  </si>
  <si>
    <t>Destination</t>
  </si>
  <si>
    <t>T(USD)</t>
  </si>
  <si>
    <t>CBM(USD)</t>
  </si>
  <si>
    <t>Freight(USD)</t>
  </si>
  <si>
    <t>Local(USD)</t>
  </si>
  <si>
    <t>Guangdong</t>
  </si>
  <si>
    <t>Suzhou</t>
  </si>
  <si>
    <t>Mosocw-Vorsino</t>
  </si>
  <si>
    <t>0.5&lt;X≤3 100/CBM
3&lt;X≤15 105/CBM
15&lt;X≤30 110/CBM</t>
  </si>
  <si>
    <t>150/shpt
≤3cbm :100/shpt</t>
  </si>
  <si>
    <t>Manzhouli</t>
  </si>
  <si>
    <t>28-30DAYS</t>
  </si>
  <si>
    <t>Chonqing</t>
  </si>
  <si>
    <t>95/CBM</t>
  </si>
  <si>
    <t>Changsha</t>
  </si>
  <si>
    <t>Chendgu</t>
  </si>
  <si>
    <t>Mosocw-Elektrougli</t>
  </si>
  <si>
    <t>75/CBM</t>
  </si>
  <si>
    <t>210/shpt
≤3cbm :160/shpt</t>
  </si>
  <si>
    <t>Alashankou</t>
  </si>
  <si>
    <t>Guangxi</t>
  </si>
  <si>
    <t>Jiangsu</t>
  </si>
  <si>
    <t>Zhejiang</t>
  </si>
  <si>
    <t>Fujian</t>
  </si>
  <si>
    <t>Anhui</t>
  </si>
  <si>
    <t>Hubei</t>
  </si>
  <si>
    <t>Hunan</t>
  </si>
  <si>
    <t>Jiangxi</t>
  </si>
  <si>
    <t>Shandong</t>
  </si>
  <si>
    <t>Shanghai</t>
  </si>
  <si>
    <t>Beijing</t>
  </si>
  <si>
    <t>Tianjin</t>
  </si>
  <si>
    <t>Shanxi</t>
  </si>
  <si>
    <t>Shaanxi</t>
  </si>
  <si>
    <t>Liaoning</t>
  </si>
  <si>
    <t>Heilongjiang</t>
  </si>
  <si>
    <t>Ji Lin</t>
  </si>
  <si>
    <t>Guizhou</t>
  </si>
  <si>
    <t>Yunnan</t>
  </si>
  <si>
    <t>Hebei</t>
  </si>
  <si>
    <t>Henan</t>
  </si>
  <si>
    <t>Chengdu</t>
  </si>
  <si>
    <t>Chongqing</t>
  </si>
  <si>
    <t>LTL
(Minimum chargeable volume: 1CBM)
Volume:Weight 1:300</t>
  </si>
  <si>
    <t>Mosocw</t>
  </si>
  <si>
    <t>115/cbm</t>
  </si>
  <si>
    <t>100/cbm</t>
  </si>
  <si>
    <t>LTL -авто сборка
Объем: Вес 1:300
данные о грузе: 0,5 тонны/0,8 кубометра,оплачиваемый объем:500 кг/300=1,67 куб. м
адрес получения: провинция Гуандун
через Маньчжурию
тогда общая ставка составит:
плата за доставку:135 долларов США
Стоимость фрахта (в долларах США):115usd*1,67=192USD
Местный(USD):100usd
Общая сумма:427 долларов США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</si>
</sst>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 "/>
  </numFmts>
  <fonts count="13">
    <font>
      <sz val="11"/>
      <color theme="1"/>
      <name val="Calibri"/>
      <charset val="134"/>
      <scheme val="minor"/>
    </font>
    <font>
      <b/>
      <sz val="18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宋体"/>
      <charset val="134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9"/>
      <name val="宋体"/>
      <charset val="134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3" xfId="0" applyBorder="1"/>
    <xf numFmtId="0" fontId="0" fillId="2" borderId="4" xfId="0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7" xfId="0" applyBorder="1"/>
    <xf numFmtId="0" fontId="2" fillId="3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8" fillId="0" borderId="26" xfId="0" applyNumberFormat="1" applyFont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164" fontId="8" fillId="0" borderId="24" xfId="0" applyNumberFormat="1" applyFont="1" applyBorder="1" applyAlignment="1">
      <alignment horizontal="center" vertical="center" wrapText="1"/>
    </xf>
    <xf numFmtId="0" fontId="0" fillId="2" borderId="35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6" xfId="0" applyBorder="1"/>
    <xf numFmtId="0" fontId="3" fillId="2" borderId="3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36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35" xfId="0" applyFont="1" applyBorder="1" applyAlignment="1">
      <alignment vertical="center"/>
    </xf>
    <xf numFmtId="0" fontId="2" fillId="3" borderId="23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64" fontId="8" fillId="0" borderId="22" xfId="0" applyNumberFormat="1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164" fontId="8" fillId="0" borderId="20" xfId="0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64" fontId="8" fillId="0" borderId="42" xfId="0" applyNumberFormat="1" applyFont="1" applyBorder="1" applyAlignment="1">
      <alignment horizontal="center" vertical="center" wrapText="1"/>
    </xf>
    <xf numFmtId="164" fontId="8" fillId="0" borderId="43" xfId="0" applyNumberFormat="1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164" fontId="8" fillId="0" borderId="27" xfId="0" applyNumberFormat="1" applyFont="1" applyBorder="1" applyAlignment="1">
      <alignment horizontal="center" vertical="center" wrapText="1"/>
    </xf>
    <xf numFmtId="164" fontId="8" fillId="0" borderId="25" xfId="0" applyNumberFormat="1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164" fontId="8" fillId="0" borderId="13" xfId="0" applyNumberFormat="1" applyFont="1" applyBorder="1" applyAlignment="1">
      <alignment horizontal="center" vertical="center" wrapText="1"/>
    </xf>
    <xf numFmtId="164" fontId="8" fillId="0" borderId="14" xfId="0" applyNumberFormat="1" applyFont="1" applyBorder="1" applyAlignment="1">
      <alignment horizontal="center" vertical="center" wrapText="1"/>
    </xf>
    <xf numFmtId="0" fontId="0" fillId="2" borderId="8" xfId="0" applyFill="1" applyBorder="1" applyAlignment="1">
      <alignment horizontal="center" wrapText="1"/>
    </xf>
    <xf numFmtId="0" fontId="2" fillId="6" borderId="1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 wrapText="1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0" xfId="0" applyBorder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34" xfId="0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vertical="center"/>
    </xf>
    <xf numFmtId="0" fontId="10" fillId="0" borderId="48" xfId="0" applyFont="1" applyBorder="1" applyAlignment="1">
      <alignment horizontal="center" vertical="center" wrapText="1"/>
    </xf>
    <xf numFmtId="0" fontId="0" fillId="0" borderId="41" xfId="0" applyBorder="1" applyAlignment="1">
      <alignment vertical="center"/>
    </xf>
    <xf numFmtId="0" fontId="10" fillId="0" borderId="21" xfId="0" applyFont="1" applyBorder="1" applyAlignment="1">
      <alignment horizontal="center" vertical="center" wrapText="1"/>
    </xf>
    <xf numFmtId="0" fontId="0" fillId="0" borderId="40" xfId="0" applyBorder="1" applyAlignment="1">
      <alignment vertical="center"/>
    </xf>
    <xf numFmtId="0" fontId="10" fillId="0" borderId="47" xfId="0" applyFont="1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10" fillId="0" borderId="16" xfId="0" applyFont="1" applyBorder="1" applyAlignment="1">
      <alignment horizontal="center" vertical="center" wrapText="1"/>
    </xf>
    <xf numFmtId="0" fontId="0" fillId="0" borderId="32" xfId="0" applyBorder="1" applyAlignment="1">
      <alignment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164" fontId="8" fillId="0" borderId="53" xfId="0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64" fontId="8" fillId="0" borderId="54" xfId="0" applyNumberFormat="1" applyFont="1" applyBorder="1" applyAlignment="1">
      <alignment horizontal="center" vertical="center" wrapText="1"/>
    </xf>
    <xf numFmtId="164" fontId="8" fillId="0" borderId="5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115"/>
  <sheetViews>
    <sheetView topLeftCell="A13" workbookViewId="0">
      <selection activeCell="N14" sqref="N14"/>
    </sheetView>
  </sheetViews>
  <sheetFormatPr baseColWidth="10" defaultColWidth="8.83203125" defaultRowHeight="15"/>
  <cols>
    <col min="3" max="3" width="23" customWidth="1"/>
    <col min="4" max="5" width="8.83203125" hidden="1" customWidth="1"/>
    <col min="6" max="6" width="16.5" customWidth="1"/>
    <col min="7" max="7" width="19" customWidth="1"/>
    <col min="8" max="8" width="14.6640625" customWidth="1"/>
    <col min="9" max="9" width="13.1640625" customWidth="1"/>
    <col min="10" max="10" width="13.83203125" customWidth="1"/>
    <col min="11" max="11" width="12.5" customWidth="1"/>
    <col min="12" max="12" width="25.1640625" customWidth="1"/>
    <col min="13" max="13" width="21.1640625" customWidth="1"/>
    <col min="14" max="14" width="17" customWidth="1"/>
    <col min="15" max="15" width="11.6640625" customWidth="1"/>
    <col min="16" max="23" width="6.83203125" customWidth="1"/>
    <col min="24" max="25" width="16.5" customWidth="1"/>
  </cols>
  <sheetData>
    <row r="1" spans="3:23">
      <c r="N1" s="84"/>
      <c r="O1" s="84"/>
      <c r="P1" s="85"/>
      <c r="Q1" s="85"/>
      <c r="R1" s="100"/>
      <c r="S1" s="100"/>
      <c r="T1" s="100"/>
      <c r="U1" s="100"/>
      <c r="V1" s="84"/>
      <c r="W1" s="84"/>
    </row>
    <row r="2" spans="3:23">
      <c r="N2" s="84"/>
      <c r="O2" s="84"/>
      <c r="P2" s="85"/>
      <c r="Q2" s="85"/>
      <c r="R2" s="100"/>
      <c r="S2" s="100"/>
      <c r="T2" s="100"/>
      <c r="U2" s="100"/>
      <c r="V2" s="84"/>
      <c r="W2" s="84"/>
    </row>
    <row r="3" spans="3:23">
      <c r="L3" s="84"/>
      <c r="M3" s="84"/>
      <c r="N3" s="84"/>
      <c r="O3" s="84"/>
      <c r="P3" s="85"/>
      <c r="Q3" s="85"/>
      <c r="R3" s="100"/>
      <c r="S3" s="100"/>
      <c r="T3" s="100"/>
      <c r="U3" s="100"/>
      <c r="V3" s="84"/>
      <c r="W3" s="84"/>
    </row>
    <row r="4" spans="3:23">
      <c r="L4" s="84"/>
      <c r="M4" s="84"/>
      <c r="N4" s="84"/>
      <c r="O4" s="84"/>
      <c r="P4" s="85"/>
      <c r="Q4" s="85"/>
      <c r="R4" s="100"/>
      <c r="S4" s="100"/>
      <c r="T4" s="100"/>
      <c r="U4" s="100"/>
      <c r="V4" s="84"/>
      <c r="W4" s="84"/>
    </row>
    <row r="5" spans="3:23">
      <c r="L5" s="84"/>
      <c r="M5" s="84"/>
      <c r="N5" s="84"/>
      <c r="O5" s="84"/>
      <c r="P5" s="85"/>
      <c r="Q5" s="85"/>
      <c r="R5" s="100"/>
      <c r="S5" s="100"/>
      <c r="T5" s="100"/>
      <c r="U5" s="100"/>
      <c r="V5" s="84"/>
      <c r="W5" s="84"/>
    </row>
    <row r="6" spans="3:23">
      <c r="L6" s="84"/>
      <c r="M6" s="84"/>
      <c r="N6" s="84"/>
      <c r="O6" s="84"/>
      <c r="P6" s="85"/>
      <c r="Q6" s="85"/>
      <c r="R6" s="100"/>
      <c r="S6" s="100"/>
      <c r="T6" s="100"/>
      <c r="U6" s="100"/>
      <c r="V6" s="84"/>
      <c r="W6" s="84"/>
    </row>
    <row r="7" spans="3:23">
      <c r="L7" s="84"/>
      <c r="M7" s="84"/>
      <c r="N7" s="84"/>
      <c r="O7" s="84"/>
      <c r="P7" s="85"/>
      <c r="Q7" s="85"/>
      <c r="R7" s="100"/>
      <c r="S7" s="100"/>
      <c r="T7" s="100"/>
      <c r="U7" s="100"/>
      <c r="V7" s="84"/>
      <c r="W7" s="84"/>
    </row>
    <row r="8" spans="3:23">
      <c r="L8" s="84"/>
      <c r="M8" s="84"/>
      <c r="N8" s="84"/>
      <c r="O8" s="84"/>
      <c r="P8" s="85"/>
      <c r="Q8" s="85"/>
      <c r="R8" s="100"/>
      <c r="S8" s="100"/>
      <c r="T8" s="100"/>
      <c r="U8" s="100"/>
      <c r="V8" s="84"/>
      <c r="W8" s="84"/>
    </row>
    <row r="9" spans="3:23">
      <c r="L9" s="84"/>
      <c r="M9" s="84"/>
      <c r="N9" s="84"/>
      <c r="O9" s="84"/>
      <c r="P9" s="85"/>
      <c r="Q9" s="85"/>
      <c r="R9" s="100"/>
      <c r="S9" s="100"/>
      <c r="T9" s="100"/>
      <c r="U9" s="100"/>
      <c r="V9" s="84"/>
      <c r="W9" s="84"/>
    </row>
    <row r="10" spans="3:23">
      <c r="L10" s="84"/>
      <c r="M10" s="84"/>
      <c r="N10" s="84"/>
      <c r="O10" s="84"/>
      <c r="P10" s="85"/>
      <c r="Q10" s="85"/>
      <c r="R10" s="100"/>
      <c r="S10" s="100"/>
      <c r="T10" s="100"/>
      <c r="U10" s="100"/>
      <c r="V10" s="84"/>
      <c r="W10" s="84"/>
    </row>
    <row r="11" spans="3:23">
      <c r="L11" s="84"/>
      <c r="M11" s="84"/>
      <c r="N11" s="84"/>
      <c r="O11" s="84"/>
      <c r="P11" s="85"/>
      <c r="Q11" s="85"/>
      <c r="R11" s="100"/>
      <c r="S11" s="100"/>
      <c r="T11" s="100"/>
      <c r="U11" s="100"/>
      <c r="V11" s="84"/>
      <c r="W11" s="84"/>
    </row>
    <row r="12" spans="3:23" ht="15" customHeight="1">
      <c r="L12" s="84"/>
      <c r="M12" s="84"/>
      <c r="N12" s="84"/>
      <c r="O12" s="84"/>
      <c r="P12" s="85"/>
      <c r="Q12" s="85"/>
      <c r="R12" s="100"/>
      <c r="S12" s="100"/>
      <c r="T12" s="100"/>
      <c r="U12" s="100"/>
      <c r="V12" s="84"/>
      <c r="W12" s="84"/>
    </row>
    <row r="13" spans="3:23" ht="18" customHeight="1">
      <c r="N13" s="84"/>
      <c r="O13" s="84"/>
    </row>
    <row r="14" spans="3:23" ht="67" customHeight="1">
      <c r="C14" s="113" t="s">
        <v>0</v>
      </c>
      <c r="D14" s="114"/>
      <c r="E14" s="114"/>
      <c r="F14" s="114"/>
      <c r="G14" s="114"/>
      <c r="H14" s="114"/>
      <c r="I14" s="114"/>
      <c r="J14" s="114"/>
      <c r="K14" s="114"/>
      <c r="L14" s="114"/>
      <c r="M14" s="115"/>
      <c r="N14" s="84"/>
      <c r="O14" s="84"/>
    </row>
    <row r="15" spans="3:23" ht="28" customHeight="1">
      <c r="C15" s="1"/>
      <c r="H15" s="75" t="s">
        <v>1</v>
      </c>
      <c r="I15" s="86" t="s">
        <v>2</v>
      </c>
      <c r="J15" s="46"/>
      <c r="K15" s="46"/>
      <c r="M15" s="47"/>
      <c r="N15" s="84"/>
      <c r="O15" s="84"/>
    </row>
    <row r="16" spans="3:23" ht="23" customHeight="1">
      <c r="C16" s="1"/>
      <c r="D16" s="3"/>
      <c r="E16" s="3"/>
      <c r="F16" s="3"/>
      <c r="G16" s="4"/>
      <c r="H16" s="5">
        <v>1</v>
      </c>
      <c r="I16" s="48">
        <v>1</v>
      </c>
      <c r="J16" s="49">
        <v>7.2</v>
      </c>
      <c r="K16" s="50"/>
      <c r="L16" s="4"/>
      <c r="M16" s="51"/>
      <c r="N16" s="4"/>
    </row>
    <row r="17" spans="3:15" ht="30" customHeight="1">
      <c r="C17" s="6"/>
      <c r="D17" s="3"/>
      <c r="E17" s="3"/>
      <c r="F17" s="7"/>
      <c r="G17" s="4"/>
      <c r="H17" s="116" t="s">
        <v>3</v>
      </c>
      <c r="I17" s="117"/>
      <c r="J17" s="118" t="s">
        <v>4</v>
      </c>
      <c r="K17" s="119"/>
      <c r="L17" s="52"/>
      <c r="M17" s="53"/>
      <c r="N17" s="4"/>
      <c r="O17" s="4"/>
    </row>
    <row r="18" spans="3:15" ht="30" customHeight="1">
      <c r="C18" s="8"/>
      <c r="D18" s="9">
        <v>600</v>
      </c>
      <c r="E18" s="9">
        <v>300</v>
      </c>
      <c r="F18" s="10"/>
      <c r="G18" s="10"/>
      <c r="H18" s="120" t="s">
        <v>5</v>
      </c>
      <c r="I18" s="121"/>
      <c r="J18" s="120" t="s">
        <v>5</v>
      </c>
      <c r="K18" s="121"/>
      <c r="L18" s="54"/>
      <c r="M18" s="55"/>
      <c r="N18" s="106" t="s">
        <v>6</v>
      </c>
      <c r="O18" s="108" t="s">
        <v>7</v>
      </c>
    </row>
    <row r="19" spans="3:15" ht="36" customHeight="1">
      <c r="C19" s="11" t="s">
        <v>8</v>
      </c>
      <c r="D19" s="12" t="s">
        <v>9</v>
      </c>
      <c r="E19" s="13" t="s">
        <v>10</v>
      </c>
      <c r="F19" s="9" t="s">
        <v>11</v>
      </c>
      <c r="G19" s="14" t="s">
        <v>12</v>
      </c>
      <c r="H19" s="15" t="s">
        <v>13</v>
      </c>
      <c r="I19" s="56" t="s">
        <v>14</v>
      </c>
      <c r="J19" s="15" t="s">
        <v>13</v>
      </c>
      <c r="K19" s="56" t="s">
        <v>14</v>
      </c>
      <c r="L19" s="57" t="s">
        <v>15</v>
      </c>
      <c r="M19" s="87" t="s">
        <v>16</v>
      </c>
      <c r="N19" s="107"/>
      <c r="O19" s="107"/>
    </row>
    <row r="20" spans="3:15" ht="51" customHeight="1">
      <c r="C20" s="109" t="s">
        <v>17</v>
      </c>
      <c r="D20" s="16">
        <v>450</v>
      </c>
      <c r="E20" s="17">
        <v>110</v>
      </c>
      <c r="F20" s="18" t="s">
        <v>18</v>
      </c>
      <c r="G20" s="104" t="s">
        <v>19</v>
      </c>
      <c r="H20" s="19">
        <f>(H$16*D20+D$18)/J$16</f>
        <v>145.833333333333</v>
      </c>
      <c r="I20" s="58">
        <f>(I$16*E20+D$18)/J$16</f>
        <v>98.6111111111111</v>
      </c>
      <c r="J20" s="19">
        <f>(H$16*D20+E$18)/J$16</f>
        <v>104.166666666667</v>
      </c>
      <c r="K20" s="58">
        <f>(I$16*E20+E$18)/J$16</f>
        <v>56.9444444444444</v>
      </c>
      <c r="L20" s="60" t="s">
        <v>20</v>
      </c>
      <c r="M20" s="60" t="s">
        <v>21</v>
      </c>
      <c r="N20" s="88" t="s">
        <v>22</v>
      </c>
      <c r="O20" s="89" t="s">
        <v>23</v>
      </c>
    </row>
    <row r="21" spans="3:15" ht="28" customHeight="1">
      <c r="C21" s="110"/>
      <c r="D21" s="20">
        <v>600</v>
      </c>
      <c r="E21" s="21">
        <v>150</v>
      </c>
      <c r="F21" s="22" t="s">
        <v>24</v>
      </c>
      <c r="G21" s="105"/>
      <c r="H21" s="23">
        <f t="shared" ref="H21:H52" si="0">(H$16*D21+D$18)/J$16</f>
        <v>166.666666666667</v>
      </c>
      <c r="I21" s="61">
        <f>(I$16*E21+D$18)/J$16</f>
        <v>104.166666666667</v>
      </c>
      <c r="J21" s="23">
        <f>(H$16*D21+E$18)/J$16</f>
        <v>125</v>
      </c>
      <c r="K21" s="61">
        <f t="shared" ref="K21:K52" si="1">(I$16*E21+E$18)/J$16</f>
        <v>62.5</v>
      </c>
      <c r="L21" s="63" t="s">
        <v>25</v>
      </c>
      <c r="M21" s="63" t="s">
        <v>21</v>
      </c>
      <c r="N21" s="90" t="s">
        <v>22</v>
      </c>
      <c r="O21" s="91" t="s">
        <v>23</v>
      </c>
    </row>
    <row r="22" spans="3:15" ht="28" customHeight="1">
      <c r="C22" s="110"/>
      <c r="D22" s="20">
        <v>400</v>
      </c>
      <c r="E22" s="21">
        <v>100</v>
      </c>
      <c r="F22" s="76" t="s">
        <v>26</v>
      </c>
      <c r="G22" s="105"/>
      <c r="H22" s="23">
        <f t="shared" si="0"/>
        <v>138.888888888889</v>
      </c>
      <c r="I22" s="61">
        <f t="shared" ref="I22:I52" si="2">(I$16*E22+D$18)/J$16</f>
        <v>97.2222222222222</v>
      </c>
      <c r="J22" s="23">
        <f>(H$16*D22+E$18)/J$16</f>
        <v>97.2222222222222</v>
      </c>
      <c r="K22" s="61">
        <f t="shared" si="1"/>
        <v>55.5555555555556</v>
      </c>
      <c r="L22" s="63" t="s">
        <v>25</v>
      </c>
      <c r="M22" s="63" t="s">
        <v>21</v>
      </c>
      <c r="N22" s="90" t="s">
        <v>22</v>
      </c>
      <c r="O22" s="91" t="s">
        <v>23</v>
      </c>
    </row>
    <row r="23" spans="3:15" ht="40" customHeight="1">
      <c r="C23" s="111"/>
      <c r="D23" s="77">
        <v>600</v>
      </c>
      <c r="E23" s="78">
        <v>150</v>
      </c>
      <c r="F23" s="79" t="s">
        <v>27</v>
      </c>
      <c r="G23" s="80" t="s">
        <v>28</v>
      </c>
      <c r="H23" s="44">
        <f t="shared" si="0"/>
        <v>166.666666666667</v>
      </c>
      <c r="I23" s="70">
        <f t="shared" si="2"/>
        <v>104.166666666667</v>
      </c>
      <c r="J23" s="44">
        <f>(H$16*D23+E$18)/J$16</f>
        <v>125</v>
      </c>
      <c r="K23" s="70">
        <f t="shared" si="1"/>
        <v>62.5</v>
      </c>
      <c r="L23" s="72" t="s">
        <v>29</v>
      </c>
      <c r="M23" s="72" t="s">
        <v>30</v>
      </c>
      <c r="N23" s="92" t="s">
        <v>31</v>
      </c>
      <c r="O23" s="93" t="s">
        <v>23</v>
      </c>
    </row>
    <row r="24" spans="3:15" ht="50" customHeight="1">
      <c r="C24" s="109" t="s">
        <v>32</v>
      </c>
      <c r="D24" s="24">
        <v>550</v>
      </c>
      <c r="E24" s="25">
        <v>165</v>
      </c>
      <c r="F24" s="18" t="s">
        <v>18</v>
      </c>
      <c r="G24" s="112" t="s">
        <v>19</v>
      </c>
      <c r="H24" s="19">
        <f t="shared" si="0"/>
        <v>159.722222222222</v>
      </c>
      <c r="I24" s="58">
        <f t="shared" si="2"/>
        <v>106.25</v>
      </c>
      <c r="J24" s="19">
        <f t="shared" ref="J24:J55" si="3">(H$16*D24+E$18)/J$16</f>
        <v>118.055555555556</v>
      </c>
      <c r="K24" s="58">
        <f t="shared" si="1"/>
        <v>64.5833333333333</v>
      </c>
      <c r="L24" s="60" t="s">
        <v>20</v>
      </c>
      <c r="M24" s="59" t="s">
        <v>21</v>
      </c>
      <c r="N24" s="94" t="s">
        <v>22</v>
      </c>
      <c r="O24" s="95" t="s">
        <v>23</v>
      </c>
    </row>
    <row r="25" spans="3:15" ht="28" customHeight="1">
      <c r="C25" s="110"/>
      <c r="D25" s="20">
        <v>550</v>
      </c>
      <c r="E25" s="21">
        <v>165</v>
      </c>
      <c r="F25" s="22" t="s">
        <v>24</v>
      </c>
      <c r="G25" s="105"/>
      <c r="H25" s="23">
        <f t="shared" si="0"/>
        <v>159.722222222222</v>
      </c>
      <c r="I25" s="61">
        <f t="shared" si="2"/>
        <v>106.25</v>
      </c>
      <c r="J25" s="23">
        <f t="shared" si="3"/>
        <v>118.055555555556</v>
      </c>
      <c r="K25" s="61">
        <f t="shared" si="1"/>
        <v>64.5833333333333</v>
      </c>
      <c r="L25" s="63" t="s">
        <v>25</v>
      </c>
      <c r="M25" s="64" t="s">
        <v>21</v>
      </c>
      <c r="N25" s="90" t="s">
        <v>22</v>
      </c>
      <c r="O25" s="91" t="s">
        <v>23</v>
      </c>
    </row>
    <row r="26" spans="3:15" ht="28" customHeight="1">
      <c r="C26" s="110"/>
      <c r="D26" s="20">
        <v>400</v>
      </c>
      <c r="E26" s="21">
        <v>100</v>
      </c>
      <c r="F26" s="76" t="s">
        <v>26</v>
      </c>
      <c r="G26" s="105"/>
      <c r="H26" s="23">
        <f t="shared" si="0"/>
        <v>138.888888888889</v>
      </c>
      <c r="I26" s="61">
        <f t="shared" si="2"/>
        <v>97.2222222222222</v>
      </c>
      <c r="J26" s="23">
        <f t="shared" si="3"/>
        <v>97.2222222222222</v>
      </c>
      <c r="K26" s="61">
        <f t="shared" si="1"/>
        <v>55.5555555555556</v>
      </c>
      <c r="L26" s="63" t="s">
        <v>25</v>
      </c>
      <c r="M26" s="64" t="s">
        <v>21</v>
      </c>
      <c r="N26" s="90" t="s">
        <v>22</v>
      </c>
      <c r="O26" s="91" t="s">
        <v>23</v>
      </c>
    </row>
    <row r="27" spans="3:15" ht="28" customHeight="1">
      <c r="C27" s="111"/>
      <c r="D27" s="77">
        <v>550</v>
      </c>
      <c r="E27" s="78">
        <v>165</v>
      </c>
      <c r="F27" s="79" t="s">
        <v>27</v>
      </c>
      <c r="G27" s="80" t="s">
        <v>28</v>
      </c>
      <c r="H27" s="44">
        <f t="shared" si="0"/>
        <v>159.722222222222</v>
      </c>
      <c r="I27" s="70">
        <f t="shared" si="2"/>
        <v>106.25</v>
      </c>
      <c r="J27" s="44">
        <f t="shared" si="3"/>
        <v>118.055555555556</v>
      </c>
      <c r="K27" s="70">
        <f t="shared" si="1"/>
        <v>64.5833333333333</v>
      </c>
      <c r="L27" s="72" t="s">
        <v>29</v>
      </c>
      <c r="M27" s="62" t="s">
        <v>30</v>
      </c>
      <c r="N27" s="92" t="s">
        <v>31</v>
      </c>
      <c r="O27" s="93" t="s">
        <v>23</v>
      </c>
    </row>
    <row r="28" spans="3:15" ht="41" customHeight="1">
      <c r="C28" s="109" t="s">
        <v>33</v>
      </c>
      <c r="D28" s="24">
        <v>180</v>
      </c>
      <c r="E28" s="25">
        <v>60</v>
      </c>
      <c r="F28" s="18" t="s">
        <v>18</v>
      </c>
      <c r="G28" s="104" t="s">
        <v>19</v>
      </c>
      <c r="H28" s="19">
        <f t="shared" si="0"/>
        <v>108.333333333333</v>
      </c>
      <c r="I28" s="58">
        <f t="shared" si="2"/>
        <v>91.6666666666667</v>
      </c>
      <c r="J28" s="19">
        <f t="shared" si="3"/>
        <v>66.6666666666667</v>
      </c>
      <c r="K28" s="58">
        <f t="shared" si="1"/>
        <v>50</v>
      </c>
      <c r="L28" s="60" t="s">
        <v>20</v>
      </c>
      <c r="M28" s="59" t="s">
        <v>21</v>
      </c>
      <c r="N28" s="94" t="s">
        <v>22</v>
      </c>
      <c r="O28" s="89" t="s">
        <v>23</v>
      </c>
    </row>
    <row r="29" spans="3:15" ht="28" customHeight="1">
      <c r="C29" s="110"/>
      <c r="D29" s="20">
        <v>600</v>
      </c>
      <c r="E29" s="21">
        <v>150</v>
      </c>
      <c r="F29" s="22" t="s">
        <v>24</v>
      </c>
      <c r="G29" s="105"/>
      <c r="H29" s="23">
        <f t="shared" si="0"/>
        <v>166.666666666667</v>
      </c>
      <c r="I29" s="61">
        <f t="shared" si="2"/>
        <v>104.166666666667</v>
      </c>
      <c r="J29" s="23">
        <f t="shared" si="3"/>
        <v>125</v>
      </c>
      <c r="K29" s="61">
        <f t="shared" si="1"/>
        <v>62.5</v>
      </c>
      <c r="L29" s="63" t="s">
        <v>25</v>
      </c>
      <c r="M29" s="64" t="s">
        <v>21</v>
      </c>
      <c r="N29" s="90" t="s">
        <v>22</v>
      </c>
      <c r="O29" s="91" t="s">
        <v>23</v>
      </c>
    </row>
    <row r="30" spans="3:15" ht="28" customHeight="1">
      <c r="C30" s="110"/>
      <c r="D30" s="20">
        <v>400</v>
      </c>
      <c r="E30" s="21">
        <v>100</v>
      </c>
      <c r="F30" s="76" t="s">
        <v>26</v>
      </c>
      <c r="G30" s="105"/>
      <c r="H30" s="23">
        <f t="shared" si="0"/>
        <v>138.888888888889</v>
      </c>
      <c r="I30" s="61">
        <f t="shared" si="2"/>
        <v>97.2222222222222</v>
      </c>
      <c r="J30" s="23">
        <f t="shared" si="3"/>
        <v>97.2222222222222</v>
      </c>
      <c r="K30" s="61">
        <f t="shared" si="1"/>
        <v>55.5555555555556</v>
      </c>
      <c r="L30" s="63" t="s">
        <v>25</v>
      </c>
      <c r="M30" s="64" t="s">
        <v>21</v>
      </c>
      <c r="N30" s="90" t="s">
        <v>22</v>
      </c>
      <c r="O30" s="91" t="s">
        <v>23</v>
      </c>
    </row>
    <row r="31" spans="3:15" ht="28" customHeight="1">
      <c r="C31" s="111"/>
      <c r="D31" s="77">
        <v>600</v>
      </c>
      <c r="E31" s="78">
        <v>150</v>
      </c>
      <c r="F31" s="79" t="s">
        <v>27</v>
      </c>
      <c r="G31" s="80" t="s">
        <v>28</v>
      </c>
      <c r="H31" s="44">
        <f t="shared" si="0"/>
        <v>166.666666666667</v>
      </c>
      <c r="I31" s="70">
        <f t="shared" si="2"/>
        <v>104.166666666667</v>
      </c>
      <c r="J31" s="44">
        <f t="shared" si="3"/>
        <v>125</v>
      </c>
      <c r="K31" s="70">
        <f t="shared" si="1"/>
        <v>62.5</v>
      </c>
      <c r="L31" s="72" t="s">
        <v>29</v>
      </c>
      <c r="M31" s="62" t="s">
        <v>30</v>
      </c>
      <c r="N31" s="92" t="s">
        <v>31</v>
      </c>
      <c r="O31" s="93" t="s">
        <v>23</v>
      </c>
    </row>
    <row r="32" spans="3:15" ht="41" customHeight="1">
      <c r="C32" s="109" t="s">
        <v>34</v>
      </c>
      <c r="D32" s="24">
        <v>180</v>
      </c>
      <c r="E32" s="25">
        <v>80</v>
      </c>
      <c r="F32" s="18" t="s">
        <v>18</v>
      </c>
      <c r="G32" s="104" t="s">
        <v>19</v>
      </c>
      <c r="H32" s="19">
        <f t="shared" si="0"/>
        <v>108.333333333333</v>
      </c>
      <c r="I32" s="58">
        <f t="shared" si="2"/>
        <v>94.4444444444444</v>
      </c>
      <c r="J32" s="19">
        <f t="shared" si="3"/>
        <v>66.6666666666667</v>
      </c>
      <c r="K32" s="58">
        <f t="shared" si="1"/>
        <v>52.7777777777778</v>
      </c>
      <c r="L32" s="60" t="s">
        <v>20</v>
      </c>
      <c r="M32" s="59" t="s">
        <v>21</v>
      </c>
      <c r="N32" s="96" t="s">
        <v>22</v>
      </c>
      <c r="O32" s="89" t="s">
        <v>23</v>
      </c>
    </row>
    <row r="33" spans="3:15" ht="31" customHeight="1">
      <c r="C33" s="110"/>
      <c r="D33" s="20">
        <v>580</v>
      </c>
      <c r="E33" s="21">
        <v>145</v>
      </c>
      <c r="F33" s="22" t="s">
        <v>24</v>
      </c>
      <c r="G33" s="105"/>
      <c r="H33" s="23">
        <f t="shared" si="0"/>
        <v>163.888888888889</v>
      </c>
      <c r="I33" s="61">
        <f t="shared" si="2"/>
        <v>103.472222222222</v>
      </c>
      <c r="J33" s="23">
        <f t="shared" si="3"/>
        <v>122.222222222222</v>
      </c>
      <c r="K33" s="61">
        <f t="shared" si="1"/>
        <v>61.8055555555556</v>
      </c>
      <c r="L33" s="63" t="s">
        <v>25</v>
      </c>
      <c r="M33" s="64" t="s">
        <v>21</v>
      </c>
      <c r="N33" s="97" t="s">
        <v>22</v>
      </c>
      <c r="O33" s="91" t="s">
        <v>23</v>
      </c>
    </row>
    <row r="34" spans="3:15" ht="31" customHeight="1">
      <c r="C34" s="110"/>
      <c r="D34" s="20">
        <v>400</v>
      </c>
      <c r="E34" s="21">
        <v>100</v>
      </c>
      <c r="F34" s="76" t="s">
        <v>26</v>
      </c>
      <c r="G34" s="105"/>
      <c r="H34" s="23">
        <f t="shared" si="0"/>
        <v>138.888888888889</v>
      </c>
      <c r="I34" s="61">
        <f t="shared" si="2"/>
        <v>97.2222222222222</v>
      </c>
      <c r="J34" s="23">
        <f t="shared" si="3"/>
        <v>97.2222222222222</v>
      </c>
      <c r="K34" s="61">
        <f t="shared" si="1"/>
        <v>55.5555555555556</v>
      </c>
      <c r="L34" s="63" t="s">
        <v>25</v>
      </c>
      <c r="M34" s="64" t="s">
        <v>21</v>
      </c>
      <c r="N34" s="97" t="s">
        <v>22</v>
      </c>
      <c r="O34" s="91" t="s">
        <v>23</v>
      </c>
    </row>
    <row r="35" spans="3:15" ht="31" customHeight="1">
      <c r="C35" s="111"/>
      <c r="D35" s="77">
        <v>580</v>
      </c>
      <c r="E35" s="78">
        <v>145</v>
      </c>
      <c r="F35" s="79" t="s">
        <v>27</v>
      </c>
      <c r="G35" s="80" t="s">
        <v>28</v>
      </c>
      <c r="H35" s="44">
        <f t="shared" si="0"/>
        <v>163.888888888889</v>
      </c>
      <c r="I35" s="70">
        <f t="shared" si="2"/>
        <v>103.472222222222</v>
      </c>
      <c r="J35" s="44">
        <f t="shared" si="3"/>
        <v>122.222222222222</v>
      </c>
      <c r="K35" s="70">
        <f t="shared" si="1"/>
        <v>61.8055555555556</v>
      </c>
      <c r="L35" s="72" t="s">
        <v>29</v>
      </c>
      <c r="M35" s="62" t="s">
        <v>30</v>
      </c>
      <c r="N35" s="98" t="s">
        <v>31</v>
      </c>
      <c r="O35" s="93" t="s">
        <v>23</v>
      </c>
    </row>
    <row r="36" spans="3:15" ht="45">
      <c r="C36" s="109" t="s">
        <v>35</v>
      </c>
      <c r="D36" s="24">
        <v>180</v>
      </c>
      <c r="E36" s="25">
        <v>80</v>
      </c>
      <c r="F36" s="18" t="s">
        <v>18</v>
      </c>
      <c r="G36" s="104" t="s">
        <v>19</v>
      </c>
      <c r="H36" s="19">
        <f t="shared" si="0"/>
        <v>108.333333333333</v>
      </c>
      <c r="I36" s="58">
        <f t="shared" si="2"/>
        <v>94.4444444444444</v>
      </c>
      <c r="J36" s="19">
        <f t="shared" si="3"/>
        <v>66.6666666666667</v>
      </c>
      <c r="K36" s="58">
        <f t="shared" si="1"/>
        <v>52.7777777777778</v>
      </c>
      <c r="L36" s="60" t="s">
        <v>20</v>
      </c>
      <c r="M36" s="59" t="s">
        <v>21</v>
      </c>
      <c r="N36" s="96" t="s">
        <v>22</v>
      </c>
      <c r="O36" s="89" t="s">
        <v>23</v>
      </c>
    </row>
    <row r="37" spans="3:15" ht="30">
      <c r="C37" s="110"/>
      <c r="D37" s="20">
        <v>650</v>
      </c>
      <c r="E37" s="21">
        <v>160</v>
      </c>
      <c r="F37" s="22" t="s">
        <v>24</v>
      </c>
      <c r="G37" s="105"/>
      <c r="H37" s="23">
        <f t="shared" si="0"/>
        <v>173.611111111111</v>
      </c>
      <c r="I37" s="61">
        <f t="shared" si="2"/>
        <v>105.555555555556</v>
      </c>
      <c r="J37" s="23">
        <f t="shared" si="3"/>
        <v>131.944444444444</v>
      </c>
      <c r="K37" s="61">
        <f t="shared" si="1"/>
        <v>63.8888888888889</v>
      </c>
      <c r="L37" s="63" t="s">
        <v>25</v>
      </c>
      <c r="M37" s="64" t="s">
        <v>21</v>
      </c>
      <c r="N37" s="97" t="s">
        <v>22</v>
      </c>
      <c r="O37" s="91" t="s">
        <v>23</v>
      </c>
    </row>
    <row r="38" spans="3:15" ht="30">
      <c r="C38" s="110"/>
      <c r="D38" s="20">
        <v>400</v>
      </c>
      <c r="E38" s="21">
        <v>100</v>
      </c>
      <c r="F38" s="76" t="s">
        <v>26</v>
      </c>
      <c r="G38" s="105"/>
      <c r="H38" s="23">
        <f t="shared" si="0"/>
        <v>138.888888888889</v>
      </c>
      <c r="I38" s="61">
        <f t="shared" si="2"/>
        <v>97.2222222222222</v>
      </c>
      <c r="J38" s="23">
        <f t="shared" si="3"/>
        <v>97.2222222222222</v>
      </c>
      <c r="K38" s="61">
        <f t="shared" si="1"/>
        <v>55.5555555555556</v>
      </c>
      <c r="L38" s="63" t="s">
        <v>25</v>
      </c>
      <c r="M38" s="64" t="s">
        <v>21</v>
      </c>
      <c r="N38" s="97" t="s">
        <v>22</v>
      </c>
      <c r="O38" s="91" t="s">
        <v>23</v>
      </c>
    </row>
    <row r="39" spans="3:15" ht="30">
      <c r="C39" s="111"/>
      <c r="D39" s="77">
        <v>650</v>
      </c>
      <c r="E39" s="78">
        <v>160</v>
      </c>
      <c r="F39" s="79" t="s">
        <v>27</v>
      </c>
      <c r="G39" s="80" t="s">
        <v>28</v>
      </c>
      <c r="H39" s="44">
        <f t="shared" si="0"/>
        <v>173.611111111111</v>
      </c>
      <c r="I39" s="70">
        <f t="shared" si="2"/>
        <v>105.555555555556</v>
      </c>
      <c r="J39" s="44">
        <f t="shared" si="3"/>
        <v>131.944444444444</v>
      </c>
      <c r="K39" s="70">
        <f t="shared" si="1"/>
        <v>63.8888888888889</v>
      </c>
      <c r="L39" s="72" t="s">
        <v>29</v>
      </c>
      <c r="M39" s="62" t="s">
        <v>30</v>
      </c>
      <c r="N39" s="98" t="s">
        <v>31</v>
      </c>
      <c r="O39" s="93" t="s">
        <v>23</v>
      </c>
    </row>
    <row r="40" spans="3:15" ht="45">
      <c r="C40" s="109" t="s">
        <v>36</v>
      </c>
      <c r="D40" s="81">
        <v>220</v>
      </c>
      <c r="E40" s="81">
        <v>80</v>
      </c>
      <c r="F40" s="18" t="s">
        <v>18</v>
      </c>
      <c r="G40" s="104" t="s">
        <v>19</v>
      </c>
      <c r="H40" s="19">
        <f t="shared" si="0"/>
        <v>113.888888888889</v>
      </c>
      <c r="I40" s="58">
        <f t="shared" si="2"/>
        <v>94.4444444444444</v>
      </c>
      <c r="J40" s="19">
        <f t="shared" si="3"/>
        <v>72.2222222222222</v>
      </c>
      <c r="K40" s="58">
        <f t="shared" si="1"/>
        <v>52.7777777777778</v>
      </c>
      <c r="L40" s="60" t="s">
        <v>20</v>
      </c>
      <c r="M40" s="65" t="s">
        <v>21</v>
      </c>
      <c r="N40" s="88" t="s">
        <v>22</v>
      </c>
      <c r="O40" s="89" t="s">
        <v>23</v>
      </c>
    </row>
    <row r="41" spans="3:15" ht="30">
      <c r="C41" s="110"/>
      <c r="D41" s="82">
        <v>600</v>
      </c>
      <c r="E41" s="82">
        <v>145</v>
      </c>
      <c r="F41" s="22" t="s">
        <v>24</v>
      </c>
      <c r="G41" s="105"/>
      <c r="H41" s="23">
        <f t="shared" si="0"/>
        <v>166.666666666667</v>
      </c>
      <c r="I41" s="61">
        <f t="shared" si="2"/>
        <v>103.472222222222</v>
      </c>
      <c r="J41" s="23">
        <f t="shared" si="3"/>
        <v>125</v>
      </c>
      <c r="K41" s="61">
        <f t="shared" si="1"/>
        <v>61.8055555555556</v>
      </c>
      <c r="L41" s="63" t="s">
        <v>25</v>
      </c>
      <c r="M41" s="64" t="s">
        <v>21</v>
      </c>
      <c r="N41" s="90" t="s">
        <v>22</v>
      </c>
      <c r="O41" s="91" t="s">
        <v>23</v>
      </c>
    </row>
    <row r="42" spans="3:15" ht="30">
      <c r="C42" s="110"/>
      <c r="D42" s="82">
        <v>400</v>
      </c>
      <c r="E42" s="82">
        <v>100</v>
      </c>
      <c r="F42" s="76" t="s">
        <v>26</v>
      </c>
      <c r="G42" s="105"/>
      <c r="H42" s="23">
        <f t="shared" si="0"/>
        <v>138.888888888889</v>
      </c>
      <c r="I42" s="61">
        <f t="shared" si="2"/>
        <v>97.2222222222222</v>
      </c>
      <c r="J42" s="23">
        <f t="shared" si="3"/>
        <v>97.2222222222222</v>
      </c>
      <c r="K42" s="61">
        <f t="shared" si="1"/>
        <v>55.5555555555556</v>
      </c>
      <c r="L42" s="63" t="s">
        <v>25</v>
      </c>
      <c r="M42" s="64" t="s">
        <v>21</v>
      </c>
      <c r="N42" s="90" t="s">
        <v>22</v>
      </c>
      <c r="O42" s="91" t="s">
        <v>23</v>
      </c>
    </row>
    <row r="43" spans="3:15" ht="30">
      <c r="C43" s="111"/>
      <c r="D43" s="82">
        <v>600</v>
      </c>
      <c r="E43" s="82">
        <v>145</v>
      </c>
      <c r="F43" s="79" t="s">
        <v>27</v>
      </c>
      <c r="G43" s="80" t="s">
        <v>28</v>
      </c>
      <c r="H43" s="44">
        <f t="shared" si="0"/>
        <v>166.666666666667</v>
      </c>
      <c r="I43" s="70">
        <f t="shared" si="2"/>
        <v>103.472222222222</v>
      </c>
      <c r="J43" s="44">
        <f t="shared" si="3"/>
        <v>125</v>
      </c>
      <c r="K43" s="70">
        <f t="shared" si="1"/>
        <v>61.8055555555556</v>
      </c>
      <c r="L43" s="72" t="s">
        <v>29</v>
      </c>
      <c r="M43" s="62" t="s">
        <v>30</v>
      </c>
      <c r="N43" s="92" t="s">
        <v>31</v>
      </c>
      <c r="O43" s="93" t="s">
        <v>23</v>
      </c>
    </row>
    <row r="44" spans="3:15" ht="45">
      <c r="C44" s="109" t="s">
        <v>37</v>
      </c>
      <c r="D44" s="82">
        <v>400</v>
      </c>
      <c r="E44" s="82">
        <v>100</v>
      </c>
      <c r="F44" s="18" t="s">
        <v>18</v>
      </c>
      <c r="G44" s="104" t="s">
        <v>19</v>
      </c>
      <c r="H44" s="19">
        <f t="shared" si="0"/>
        <v>138.888888888889</v>
      </c>
      <c r="I44" s="58">
        <f t="shared" si="2"/>
        <v>97.2222222222222</v>
      </c>
      <c r="J44" s="19">
        <f t="shared" si="3"/>
        <v>97.2222222222222</v>
      </c>
      <c r="K44" s="58">
        <f t="shared" si="1"/>
        <v>55.5555555555556</v>
      </c>
      <c r="L44" s="60" t="s">
        <v>20</v>
      </c>
      <c r="M44" s="65" t="s">
        <v>21</v>
      </c>
      <c r="N44" s="88" t="s">
        <v>22</v>
      </c>
      <c r="O44" s="89" t="s">
        <v>23</v>
      </c>
    </row>
    <row r="45" spans="3:15" ht="30">
      <c r="C45" s="110"/>
      <c r="D45" s="82">
        <v>480</v>
      </c>
      <c r="E45" s="82">
        <v>130</v>
      </c>
      <c r="F45" s="22" t="s">
        <v>24</v>
      </c>
      <c r="G45" s="105"/>
      <c r="H45" s="23">
        <f t="shared" si="0"/>
        <v>150</v>
      </c>
      <c r="I45" s="61">
        <f t="shared" si="2"/>
        <v>101.388888888889</v>
      </c>
      <c r="J45" s="23">
        <f t="shared" si="3"/>
        <v>108.333333333333</v>
      </c>
      <c r="K45" s="61">
        <f t="shared" si="1"/>
        <v>59.7222222222222</v>
      </c>
      <c r="L45" s="63" t="s">
        <v>25</v>
      </c>
      <c r="M45" s="64" t="s">
        <v>21</v>
      </c>
      <c r="N45" s="90" t="s">
        <v>22</v>
      </c>
      <c r="O45" s="91" t="s">
        <v>23</v>
      </c>
    </row>
    <row r="46" spans="3:15" ht="30">
      <c r="C46" s="110"/>
      <c r="D46" s="82">
        <v>260</v>
      </c>
      <c r="E46" s="82">
        <v>80</v>
      </c>
      <c r="F46" s="76" t="s">
        <v>26</v>
      </c>
      <c r="G46" s="105"/>
      <c r="H46" s="23">
        <f t="shared" si="0"/>
        <v>119.444444444444</v>
      </c>
      <c r="I46" s="61">
        <f t="shared" si="2"/>
        <v>94.4444444444444</v>
      </c>
      <c r="J46" s="23">
        <f t="shared" si="3"/>
        <v>77.7777777777778</v>
      </c>
      <c r="K46" s="61">
        <f t="shared" si="1"/>
        <v>52.7777777777778</v>
      </c>
      <c r="L46" s="63" t="s">
        <v>25</v>
      </c>
      <c r="M46" s="64" t="s">
        <v>21</v>
      </c>
      <c r="N46" s="90" t="s">
        <v>22</v>
      </c>
      <c r="O46" s="91" t="s">
        <v>23</v>
      </c>
    </row>
    <row r="47" spans="3:15" ht="30">
      <c r="C47" s="111"/>
      <c r="D47" s="82">
        <v>500</v>
      </c>
      <c r="E47" s="82">
        <v>140</v>
      </c>
      <c r="F47" s="79" t="s">
        <v>27</v>
      </c>
      <c r="G47" s="80" t="s">
        <v>28</v>
      </c>
      <c r="H47" s="44">
        <f t="shared" si="0"/>
        <v>152.777777777778</v>
      </c>
      <c r="I47" s="70">
        <f t="shared" si="2"/>
        <v>102.777777777778</v>
      </c>
      <c r="J47" s="44">
        <f t="shared" si="3"/>
        <v>111.111111111111</v>
      </c>
      <c r="K47" s="70">
        <f t="shared" si="1"/>
        <v>61.1111111111111</v>
      </c>
      <c r="L47" s="72" t="s">
        <v>29</v>
      </c>
      <c r="M47" s="62" t="s">
        <v>30</v>
      </c>
      <c r="N47" s="92" t="s">
        <v>31</v>
      </c>
      <c r="O47" s="93" t="s">
        <v>23</v>
      </c>
    </row>
    <row r="48" spans="3:15" ht="45">
      <c r="C48" s="109" t="s">
        <v>38</v>
      </c>
      <c r="D48" s="82">
        <v>400</v>
      </c>
      <c r="E48" s="82">
        <v>110</v>
      </c>
      <c r="F48" s="18" t="s">
        <v>18</v>
      </c>
      <c r="G48" s="104" t="s">
        <v>19</v>
      </c>
      <c r="H48" s="19">
        <f t="shared" si="0"/>
        <v>138.888888888889</v>
      </c>
      <c r="I48" s="58">
        <f t="shared" si="2"/>
        <v>98.6111111111111</v>
      </c>
      <c r="J48" s="19">
        <f t="shared" si="3"/>
        <v>97.2222222222222</v>
      </c>
      <c r="K48" s="58">
        <f t="shared" si="1"/>
        <v>56.9444444444444</v>
      </c>
      <c r="L48" s="60" t="s">
        <v>20</v>
      </c>
      <c r="M48" s="65" t="s">
        <v>21</v>
      </c>
      <c r="N48" s="88" t="s">
        <v>22</v>
      </c>
      <c r="O48" s="89" t="s">
        <v>23</v>
      </c>
    </row>
    <row r="49" spans="3:15" ht="30">
      <c r="C49" s="110"/>
      <c r="D49" s="82">
        <v>480</v>
      </c>
      <c r="E49" s="82">
        <v>140</v>
      </c>
      <c r="F49" s="22" t="s">
        <v>24</v>
      </c>
      <c r="G49" s="105"/>
      <c r="H49" s="23">
        <f t="shared" si="0"/>
        <v>150</v>
      </c>
      <c r="I49" s="61">
        <f t="shared" si="2"/>
        <v>102.777777777778</v>
      </c>
      <c r="J49" s="23">
        <f t="shared" si="3"/>
        <v>108.333333333333</v>
      </c>
      <c r="K49" s="61">
        <f t="shared" si="1"/>
        <v>61.1111111111111</v>
      </c>
      <c r="L49" s="63" t="s">
        <v>25</v>
      </c>
      <c r="M49" s="64" t="s">
        <v>21</v>
      </c>
      <c r="N49" s="90" t="s">
        <v>22</v>
      </c>
      <c r="O49" s="91" t="s">
        <v>23</v>
      </c>
    </row>
    <row r="50" spans="3:15" ht="30">
      <c r="C50" s="110"/>
      <c r="D50" s="82">
        <v>150</v>
      </c>
      <c r="E50" s="82">
        <v>50</v>
      </c>
      <c r="F50" s="76" t="s">
        <v>26</v>
      </c>
      <c r="G50" s="105"/>
      <c r="H50" s="23">
        <f t="shared" si="0"/>
        <v>104.166666666667</v>
      </c>
      <c r="I50" s="61">
        <f t="shared" si="2"/>
        <v>90.2777777777778</v>
      </c>
      <c r="J50" s="23">
        <f t="shared" si="3"/>
        <v>62.5</v>
      </c>
      <c r="K50" s="61">
        <f t="shared" si="1"/>
        <v>48.6111111111111</v>
      </c>
      <c r="L50" s="63" t="s">
        <v>25</v>
      </c>
      <c r="M50" s="64" t="s">
        <v>21</v>
      </c>
      <c r="N50" s="90" t="s">
        <v>22</v>
      </c>
      <c r="O50" s="91" t="s">
        <v>23</v>
      </c>
    </row>
    <row r="51" spans="3:15" ht="30">
      <c r="C51" s="111"/>
      <c r="D51" s="82">
        <v>500</v>
      </c>
      <c r="E51" s="82">
        <v>140</v>
      </c>
      <c r="F51" s="79" t="s">
        <v>27</v>
      </c>
      <c r="G51" s="80" t="s">
        <v>28</v>
      </c>
      <c r="H51" s="44">
        <f t="shared" si="0"/>
        <v>152.777777777778</v>
      </c>
      <c r="I51" s="70">
        <f t="shared" si="2"/>
        <v>102.777777777778</v>
      </c>
      <c r="J51" s="44">
        <f t="shared" si="3"/>
        <v>111.111111111111</v>
      </c>
      <c r="K51" s="70">
        <f t="shared" si="1"/>
        <v>61.1111111111111</v>
      </c>
      <c r="L51" s="72" t="s">
        <v>29</v>
      </c>
      <c r="M51" s="62" t="s">
        <v>30</v>
      </c>
      <c r="N51" s="92" t="s">
        <v>31</v>
      </c>
      <c r="O51" s="93" t="s">
        <v>23</v>
      </c>
    </row>
    <row r="52" spans="3:15" ht="45">
      <c r="C52" s="109" t="s">
        <v>39</v>
      </c>
      <c r="D52" s="82">
        <v>400</v>
      </c>
      <c r="E52" s="82">
        <v>100</v>
      </c>
      <c r="F52" s="18" t="s">
        <v>18</v>
      </c>
      <c r="G52" s="104" t="s">
        <v>19</v>
      </c>
      <c r="H52" s="19">
        <f t="shared" si="0"/>
        <v>138.888888888889</v>
      </c>
      <c r="I52" s="58">
        <f t="shared" si="2"/>
        <v>97.2222222222222</v>
      </c>
      <c r="J52" s="19">
        <f t="shared" si="3"/>
        <v>97.2222222222222</v>
      </c>
      <c r="K52" s="58">
        <f t="shared" si="1"/>
        <v>55.5555555555556</v>
      </c>
      <c r="L52" s="60" t="s">
        <v>20</v>
      </c>
      <c r="M52" s="65" t="s">
        <v>21</v>
      </c>
      <c r="N52" s="88" t="s">
        <v>22</v>
      </c>
      <c r="O52" s="89" t="s">
        <v>23</v>
      </c>
    </row>
    <row r="53" spans="3:15" ht="30">
      <c r="C53" s="110"/>
      <c r="D53" s="82">
        <v>550</v>
      </c>
      <c r="E53" s="82">
        <v>150</v>
      </c>
      <c r="F53" s="22" t="s">
        <v>24</v>
      </c>
      <c r="G53" s="105"/>
      <c r="H53" s="23">
        <f t="shared" ref="H53:H84" si="4">(H$16*D53+D$18)/J$16</f>
        <v>159.722222222222</v>
      </c>
      <c r="I53" s="61">
        <f t="shared" ref="I53:I84" si="5">(I$16*E53+D$18)/J$16</f>
        <v>104.166666666667</v>
      </c>
      <c r="J53" s="23">
        <f t="shared" si="3"/>
        <v>118.055555555556</v>
      </c>
      <c r="K53" s="61">
        <f t="shared" ref="K53:K84" si="6">(I$16*E53+E$18)/J$16</f>
        <v>62.5</v>
      </c>
      <c r="L53" s="63" t="s">
        <v>25</v>
      </c>
      <c r="M53" s="64" t="s">
        <v>21</v>
      </c>
      <c r="N53" s="90" t="s">
        <v>22</v>
      </c>
      <c r="O53" s="91" t="s">
        <v>23</v>
      </c>
    </row>
    <row r="54" spans="3:15" ht="30">
      <c r="C54" s="110"/>
      <c r="D54" s="82">
        <v>350</v>
      </c>
      <c r="E54" s="82">
        <v>90</v>
      </c>
      <c r="F54" s="76" t="s">
        <v>26</v>
      </c>
      <c r="G54" s="105"/>
      <c r="H54" s="23">
        <f t="shared" si="4"/>
        <v>131.944444444444</v>
      </c>
      <c r="I54" s="61">
        <f t="shared" si="5"/>
        <v>95.8333333333333</v>
      </c>
      <c r="J54" s="23">
        <f t="shared" si="3"/>
        <v>90.2777777777778</v>
      </c>
      <c r="K54" s="61">
        <f t="shared" si="6"/>
        <v>54.1666666666667</v>
      </c>
      <c r="L54" s="63" t="s">
        <v>25</v>
      </c>
      <c r="M54" s="64" t="s">
        <v>21</v>
      </c>
      <c r="N54" s="90" t="s">
        <v>22</v>
      </c>
      <c r="O54" s="91" t="s">
        <v>23</v>
      </c>
    </row>
    <row r="55" spans="3:15" ht="30">
      <c r="C55" s="111"/>
      <c r="D55" s="82">
        <v>600</v>
      </c>
      <c r="E55" s="82">
        <v>150</v>
      </c>
      <c r="F55" s="79" t="s">
        <v>27</v>
      </c>
      <c r="G55" s="80" t="s">
        <v>28</v>
      </c>
      <c r="H55" s="44">
        <f t="shared" si="4"/>
        <v>166.666666666667</v>
      </c>
      <c r="I55" s="70">
        <f t="shared" si="5"/>
        <v>104.166666666667</v>
      </c>
      <c r="J55" s="44">
        <f t="shared" si="3"/>
        <v>125</v>
      </c>
      <c r="K55" s="70">
        <f t="shared" si="6"/>
        <v>62.5</v>
      </c>
      <c r="L55" s="72" t="s">
        <v>29</v>
      </c>
      <c r="M55" s="62" t="s">
        <v>30</v>
      </c>
      <c r="N55" s="92" t="s">
        <v>31</v>
      </c>
      <c r="O55" s="93" t="s">
        <v>23</v>
      </c>
    </row>
    <row r="56" spans="3:15" ht="45">
      <c r="C56" s="109" t="s">
        <v>40</v>
      </c>
      <c r="D56" s="82">
        <v>350</v>
      </c>
      <c r="E56" s="82">
        <v>100</v>
      </c>
      <c r="F56" s="18" t="s">
        <v>18</v>
      </c>
      <c r="G56" s="104" t="s">
        <v>19</v>
      </c>
      <c r="H56" s="19">
        <f t="shared" si="4"/>
        <v>131.944444444444</v>
      </c>
      <c r="I56" s="58">
        <f t="shared" si="5"/>
        <v>97.2222222222222</v>
      </c>
      <c r="J56" s="19">
        <f t="shared" ref="J56:J87" si="7">(H$16*D56+E$18)/J$16</f>
        <v>90.2777777777778</v>
      </c>
      <c r="K56" s="58">
        <f t="shared" si="6"/>
        <v>55.5555555555556</v>
      </c>
      <c r="L56" s="60" t="s">
        <v>20</v>
      </c>
      <c r="M56" s="65" t="s">
        <v>21</v>
      </c>
      <c r="N56" s="88" t="s">
        <v>22</v>
      </c>
      <c r="O56" s="89" t="s">
        <v>23</v>
      </c>
    </row>
    <row r="57" spans="3:15" ht="30">
      <c r="C57" s="110"/>
      <c r="D57" s="82">
        <v>600</v>
      </c>
      <c r="E57" s="82">
        <v>150</v>
      </c>
      <c r="F57" s="22" t="s">
        <v>24</v>
      </c>
      <c r="G57" s="105"/>
      <c r="H57" s="23">
        <f t="shared" si="4"/>
        <v>166.666666666667</v>
      </c>
      <c r="I57" s="61">
        <f t="shared" si="5"/>
        <v>104.166666666667</v>
      </c>
      <c r="J57" s="23">
        <f t="shared" si="7"/>
        <v>125</v>
      </c>
      <c r="K57" s="61">
        <f t="shared" si="6"/>
        <v>62.5</v>
      </c>
      <c r="L57" s="63" t="s">
        <v>25</v>
      </c>
      <c r="M57" s="64" t="s">
        <v>21</v>
      </c>
      <c r="N57" s="90" t="s">
        <v>22</v>
      </c>
      <c r="O57" s="91" t="s">
        <v>23</v>
      </c>
    </row>
    <row r="58" spans="3:15" ht="30">
      <c r="C58" s="110"/>
      <c r="D58" s="82">
        <v>480</v>
      </c>
      <c r="E58" s="82">
        <v>120</v>
      </c>
      <c r="F58" s="76" t="s">
        <v>26</v>
      </c>
      <c r="G58" s="105"/>
      <c r="H58" s="23">
        <f t="shared" si="4"/>
        <v>150</v>
      </c>
      <c r="I58" s="61">
        <f t="shared" si="5"/>
        <v>100</v>
      </c>
      <c r="J58" s="23">
        <f t="shared" si="7"/>
        <v>108.333333333333</v>
      </c>
      <c r="K58" s="61">
        <f t="shared" si="6"/>
        <v>58.3333333333333</v>
      </c>
      <c r="L58" s="63" t="s">
        <v>25</v>
      </c>
      <c r="M58" s="64" t="s">
        <v>21</v>
      </c>
      <c r="N58" s="90" t="s">
        <v>22</v>
      </c>
      <c r="O58" s="91" t="s">
        <v>23</v>
      </c>
    </row>
    <row r="59" spans="3:15" ht="30">
      <c r="C59" s="111"/>
      <c r="D59" s="82">
        <v>600</v>
      </c>
      <c r="E59" s="82">
        <v>150</v>
      </c>
      <c r="F59" s="79" t="s">
        <v>27</v>
      </c>
      <c r="G59" s="80" t="s">
        <v>28</v>
      </c>
      <c r="H59" s="44">
        <f t="shared" si="4"/>
        <v>166.666666666667</v>
      </c>
      <c r="I59" s="70">
        <f t="shared" si="5"/>
        <v>104.166666666667</v>
      </c>
      <c r="J59" s="44">
        <f t="shared" si="7"/>
        <v>125</v>
      </c>
      <c r="K59" s="70">
        <f t="shared" si="6"/>
        <v>62.5</v>
      </c>
      <c r="L59" s="72" t="s">
        <v>29</v>
      </c>
      <c r="M59" s="62" t="s">
        <v>30</v>
      </c>
      <c r="N59" s="92" t="s">
        <v>31</v>
      </c>
      <c r="O59" s="93" t="s">
        <v>23</v>
      </c>
    </row>
    <row r="60" spans="3:15" ht="45">
      <c r="C60" s="109" t="s">
        <v>41</v>
      </c>
      <c r="D60" s="83">
        <v>150</v>
      </c>
      <c r="E60" s="83">
        <v>50</v>
      </c>
      <c r="F60" s="18" t="s">
        <v>18</v>
      </c>
      <c r="G60" s="104" t="s">
        <v>19</v>
      </c>
      <c r="H60" s="19">
        <f t="shared" si="4"/>
        <v>104.166666666667</v>
      </c>
      <c r="I60" s="58">
        <f t="shared" si="5"/>
        <v>90.2777777777778</v>
      </c>
      <c r="J60" s="66">
        <f t="shared" si="7"/>
        <v>62.5</v>
      </c>
      <c r="K60" s="58">
        <f t="shared" si="6"/>
        <v>48.6111111111111</v>
      </c>
      <c r="L60" s="60" t="s">
        <v>20</v>
      </c>
      <c r="M60" s="65" t="s">
        <v>21</v>
      </c>
      <c r="N60" s="88" t="s">
        <v>22</v>
      </c>
      <c r="O60" s="89" t="s">
        <v>23</v>
      </c>
    </row>
    <row r="61" spans="3:15" ht="30">
      <c r="C61" s="110"/>
      <c r="D61" s="83">
        <v>550</v>
      </c>
      <c r="E61" s="83">
        <v>130</v>
      </c>
      <c r="F61" s="22" t="s">
        <v>24</v>
      </c>
      <c r="G61" s="105"/>
      <c r="H61" s="23">
        <f t="shared" si="4"/>
        <v>159.722222222222</v>
      </c>
      <c r="I61" s="61">
        <f t="shared" si="5"/>
        <v>101.388888888889</v>
      </c>
      <c r="J61" s="67">
        <f t="shared" si="7"/>
        <v>118.055555555556</v>
      </c>
      <c r="K61" s="61">
        <f t="shared" si="6"/>
        <v>59.7222222222222</v>
      </c>
      <c r="L61" s="63" t="s">
        <v>25</v>
      </c>
      <c r="M61" s="64" t="s">
        <v>21</v>
      </c>
      <c r="N61" s="90" t="s">
        <v>22</v>
      </c>
      <c r="O61" s="91" t="s">
        <v>23</v>
      </c>
    </row>
    <row r="62" spans="3:15" ht="30">
      <c r="C62" s="110"/>
      <c r="D62" s="83">
        <v>400</v>
      </c>
      <c r="E62" s="83">
        <v>100</v>
      </c>
      <c r="F62" s="76" t="s">
        <v>26</v>
      </c>
      <c r="G62" s="105"/>
      <c r="H62" s="23">
        <f t="shared" si="4"/>
        <v>138.888888888889</v>
      </c>
      <c r="I62" s="61">
        <f t="shared" si="5"/>
        <v>97.2222222222222</v>
      </c>
      <c r="J62" s="67">
        <f t="shared" si="7"/>
        <v>97.2222222222222</v>
      </c>
      <c r="K62" s="61">
        <f t="shared" si="6"/>
        <v>55.5555555555556</v>
      </c>
      <c r="L62" s="63" t="s">
        <v>25</v>
      </c>
      <c r="M62" s="64" t="s">
        <v>21</v>
      </c>
      <c r="N62" s="90" t="s">
        <v>22</v>
      </c>
      <c r="O62" s="91" t="s">
        <v>23</v>
      </c>
    </row>
    <row r="63" spans="3:15" ht="30">
      <c r="C63" s="111"/>
      <c r="D63" s="83">
        <v>600</v>
      </c>
      <c r="E63" s="83">
        <v>140</v>
      </c>
      <c r="F63" s="79" t="s">
        <v>27</v>
      </c>
      <c r="G63" s="80" t="s">
        <v>28</v>
      </c>
      <c r="H63" s="44">
        <f t="shared" si="4"/>
        <v>166.666666666667</v>
      </c>
      <c r="I63" s="70">
        <f t="shared" si="5"/>
        <v>102.777777777778</v>
      </c>
      <c r="J63" s="99">
        <f t="shared" si="7"/>
        <v>125</v>
      </c>
      <c r="K63" s="70">
        <f t="shared" si="6"/>
        <v>61.1111111111111</v>
      </c>
      <c r="L63" s="72" t="s">
        <v>29</v>
      </c>
      <c r="M63" s="62" t="s">
        <v>30</v>
      </c>
      <c r="N63" s="92" t="s">
        <v>31</v>
      </c>
      <c r="O63" s="93" t="s">
        <v>23</v>
      </c>
    </row>
    <row r="64" spans="3:15" ht="45">
      <c r="C64" s="109" t="s">
        <v>42</v>
      </c>
      <c r="D64" s="83">
        <v>400</v>
      </c>
      <c r="E64" s="83">
        <v>120</v>
      </c>
      <c r="F64" s="18" t="s">
        <v>18</v>
      </c>
      <c r="G64" s="104" t="s">
        <v>19</v>
      </c>
      <c r="H64" s="19">
        <f t="shared" si="4"/>
        <v>138.888888888889</v>
      </c>
      <c r="I64" s="58">
        <f t="shared" si="5"/>
        <v>100</v>
      </c>
      <c r="J64" s="19">
        <f t="shared" si="7"/>
        <v>97.2222222222222</v>
      </c>
      <c r="K64" s="58">
        <f t="shared" si="6"/>
        <v>58.3333333333333</v>
      </c>
      <c r="L64" s="60" t="s">
        <v>20</v>
      </c>
      <c r="M64" s="65" t="s">
        <v>21</v>
      </c>
      <c r="N64" s="88" t="s">
        <v>22</v>
      </c>
      <c r="O64" s="89" t="s">
        <v>23</v>
      </c>
    </row>
    <row r="65" spans="3:15" ht="30">
      <c r="C65" s="110"/>
      <c r="D65" s="83">
        <v>550</v>
      </c>
      <c r="E65" s="83">
        <v>155</v>
      </c>
      <c r="F65" s="22" t="s">
        <v>24</v>
      </c>
      <c r="G65" s="105"/>
      <c r="H65" s="23">
        <f t="shared" si="4"/>
        <v>159.722222222222</v>
      </c>
      <c r="I65" s="61">
        <f t="shared" si="5"/>
        <v>104.861111111111</v>
      </c>
      <c r="J65" s="23">
        <f t="shared" si="7"/>
        <v>118.055555555556</v>
      </c>
      <c r="K65" s="61">
        <f t="shared" si="6"/>
        <v>63.1944444444444</v>
      </c>
      <c r="L65" s="63" t="s">
        <v>25</v>
      </c>
      <c r="M65" s="64" t="s">
        <v>21</v>
      </c>
      <c r="N65" s="90" t="s">
        <v>22</v>
      </c>
      <c r="O65" s="91" t="s">
        <v>23</v>
      </c>
    </row>
    <row r="66" spans="3:15" ht="30">
      <c r="C66" s="110"/>
      <c r="D66" s="83">
        <v>430</v>
      </c>
      <c r="E66" s="83">
        <v>120</v>
      </c>
      <c r="F66" s="76" t="s">
        <v>26</v>
      </c>
      <c r="G66" s="105"/>
      <c r="H66" s="23">
        <f t="shared" si="4"/>
        <v>143.055555555556</v>
      </c>
      <c r="I66" s="61">
        <f t="shared" si="5"/>
        <v>100</v>
      </c>
      <c r="J66" s="23">
        <f t="shared" si="7"/>
        <v>101.388888888889</v>
      </c>
      <c r="K66" s="61">
        <f t="shared" si="6"/>
        <v>58.3333333333333</v>
      </c>
      <c r="L66" s="63" t="s">
        <v>25</v>
      </c>
      <c r="M66" s="64" t="s">
        <v>21</v>
      </c>
      <c r="N66" s="90" t="s">
        <v>22</v>
      </c>
      <c r="O66" s="91" t="s">
        <v>23</v>
      </c>
    </row>
    <row r="67" spans="3:15" ht="30">
      <c r="C67" s="111"/>
      <c r="D67" s="83">
        <v>550</v>
      </c>
      <c r="E67" s="83">
        <v>155</v>
      </c>
      <c r="F67" s="79" t="s">
        <v>27</v>
      </c>
      <c r="G67" s="80" t="s">
        <v>28</v>
      </c>
      <c r="H67" s="44">
        <f t="shared" si="4"/>
        <v>159.722222222222</v>
      </c>
      <c r="I67" s="70">
        <f t="shared" si="5"/>
        <v>104.861111111111</v>
      </c>
      <c r="J67" s="44">
        <f t="shared" si="7"/>
        <v>118.055555555556</v>
      </c>
      <c r="K67" s="70">
        <f t="shared" si="6"/>
        <v>63.1944444444444</v>
      </c>
      <c r="L67" s="72" t="s">
        <v>29</v>
      </c>
      <c r="M67" s="62" t="s">
        <v>30</v>
      </c>
      <c r="N67" s="92" t="s">
        <v>31</v>
      </c>
      <c r="O67" s="93" t="s">
        <v>23</v>
      </c>
    </row>
    <row r="68" spans="3:15" ht="45">
      <c r="C68" s="109" t="s">
        <v>43</v>
      </c>
      <c r="D68" s="83">
        <v>350</v>
      </c>
      <c r="E68" s="83">
        <v>120</v>
      </c>
      <c r="F68" s="18" t="s">
        <v>18</v>
      </c>
      <c r="G68" s="104" t="s">
        <v>19</v>
      </c>
      <c r="H68" s="19">
        <f t="shared" si="4"/>
        <v>131.944444444444</v>
      </c>
      <c r="I68" s="58">
        <f t="shared" si="5"/>
        <v>100</v>
      </c>
      <c r="J68" s="19">
        <f t="shared" si="7"/>
        <v>90.2777777777778</v>
      </c>
      <c r="K68" s="58">
        <f t="shared" si="6"/>
        <v>58.3333333333333</v>
      </c>
      <c r="L68" s="60" t="s">
        <v>20</v>
      </c>
      <c r="M68" s="65" t="s">
        <v>21</v>
      </c>
      <c r="N68" s="88" t="s">
        <v>22</v>
      </c>
      <c r="O68" s="89" t="s">
        <v>23</v>
      </c>
    </row>
    <row r="69" spans="3:15" ht="30">
      <c r="C69" s="110"/>
      <c r="D69" s="83">
        <v>580</v>
      </c>
      <c r="E69" s="83">
        <v>145</v>
      </c>
      <c r="F69" s="22" t="s">
        <v>24</v>
      </c>
      <c r="G69" s="105"/>
      <c r="H69" s="23">
        <f t="shared" si="4"/>
        <v>163.888888888889</v>
      </c>
      <c r="I69" s="61">
        <f t="shared" si="5"/>
        <v>103.472222222222</v>
      </c>
      <c r="J69" s="23">
        <f t="shared" si="7"/>
        <v>122.222222222222</v>
      </c>
      <c r="K69" s="61">
        <f t="shared" si="6"/>
        <v>61.8055555555556</v>
      </c>
      <c r="L69" s="63" t="s">
        <v>25</v>
      </c>
      <c r="M69" s="64" t="s">
        <v>21</v>
      </c>
      <c r="N69" s="90" t="s">
        <v>22</v>
      </c>
      <c r="O69" s="91" t="s">
        <v>23</v>
      </c>
    </row>
    <row r="70" spans="3:15" ht="30">
      <c r="C70" s="110"/>
      <c r="D70" s="83">
        <v>400</v>
      </c>
      <c r="E70" s="83">
        <v>100</v>
      </c>
      <c r="F70" s="76" t="s">
        <v>26</v>
      </c>
      <c r="G70" s="105"/>
      <c r="H70" s="23">
        <f t="shared" si="4"/>
        <v>138.888888888889</v>
      </c>
      <c r="I70" s="61">
        <f t="shared" si="5"/>
        <v>97.2222222222222</v>
      </c>
      <c r="J70" s="23">
        <f t="shared" si="7"/>
        <v>97.2222222222222</v>
      </c>
      <c r="K70" s="61">
        <f t="shared" si="6"/>
        <v>55.5555555555556</v>
      </c>
      <c r="L70" s="63" t="s">
        <v>25</v>
      </c>
      <c r="M70" s="64" t="s">
        <v>21</v>
      </c>
      <c r="N70" s="90" t="s">
        <v>22</v>
      </c>
      <c r="O70" s="91" t="s">
        <v>23</v>
      </c>
    </row>
    <row r="71" spans="3:15" ht="30">
      <c r="C71" s="111"/>
      <c r="D71" s="83">
        <v>580</v>
      </c>
      <c r="E71" s="83">
        <v>145</v>
      </c>
      <c r="F71" s="79" t="s">
        <v>27</v>
      </c>
      <c r="G71" s="80" t="s">
        <v>28</v>
      </c>
      <c r="H71" s="44">
        <f t="shared" si="4"/>
        <v>163.888888888889</v>
      </c>
      <c r="I71" s="70">
        <f t="shared" si="5"/>
        <v>103.472222222222</v>
      </c>
      <c r="J71" s="44">
        <f t="shared" si="7"/>
        <v>122.222222222222</v>
      </c>
      <c r="K71" s="70">
        <f t="shared" si="6"/>
        <v>61.8055555555556</v>
      </c>
      <c r="L71" s="72" t="s">
        <v>29</v>
      </c>
      <c r="M71" s="62" t="s">
        <v>30</v>
      </c>
      <c r="N71" s="92" t="s">
        <v>31</v>
      </c>
      <c r="O71" s="93" t="s">
        <v>23</v>
      </c>
    </row>
    <row r="72" spans="3:15" ht="45">
      <c r="C72" s="109" t="s">
        <v>44</v>
      </c>
      <c r="D72" s="83">
        <v>400</v>
      </c>
      <c r="E72" s="83">
        <v>120</v>
      </c>
      <c r="F72" s="18" t="s">
        <v>18</v>
      </c>
      <c r="G72" s="104" t="s">
        <v>19</v>
      </c>
      <c r="H72" s="19">
        <f t="shared" si="4"/>
        <v>138.888888888889</v>
      </c>
      <c r="I72" s="58">
        <f t="shared" si="5"/>
        <v>100</v>
      </c>
      <c r="J72" s="19">
        <f t="shared" si="7"/>
        <v>97.2222222222222</v>
      </c>
      <c r="K72" s="58">
        <f t="shared" si="6"/>
        <v>58.3333333333333</v>
      </c>
      <c r="L72" s="60" t="s">
        <v>20</v>
      </c>
      <c r="M72" s="65" t="s">
        <v>21</v>
      </c>
      <c r="N72" s="88" t="s">
        <v>22</v>
      </c>
      <c r="O72" s="89" t="s">
        <v>23</v>
      </c>
    </row>
    <row r="73" spans="3:15" ht="30">
      <c r="C73" s="110"/>
      <c r="D73" s="83">
        <v>700</v>
      </c>
      <c r="E73" s="83">
        <v>170</v>
      </c>
      <c r="F73" s="22" t="s">
        <v>24</v>
      </c>
      <c r="G73" s="105"/>
      <c r="H73" s="23">
        <f t="shared" si="4"/>
        <v>180.555555555556</v>
      </c>
      <c r="I73" s="61">
        <f t="shared" si="5"/>
        <v>106.944444444444</v>
      </c>
      <c r="J73" s="23">
        <f t="shared" si="7"/>
        <v>138.888888888889</v>
      </c>
      <c r="K73" s="61">
        <f t="shared" si="6"/>
        <v>65.2777777777778</v>
      </c>
      <c r="L73" s="63" t="s">
        <v>25</v>
      </c>
      <c r="M73" s="64" t="s">
        <v>21</v>
      </c>
      <c r="N73" s="90" t="s">
        <v>22</v>
      </c>
      <c r="O73" s="91" t="s">
        <v>23</v>
      </c>
    </row>
    <row r="74" spans="3:15" ht="30">
      <c r="C74" s="110"/>
      <c r="D74" s="83">
        <v>550</v>
      </c>
      <c r="E74" s="83">
        <v>130</v>
      </c>
      <c r="F74" s="76" t="s">
        <v>26</v>
      </c>
      <c r="G74" s="105"/>
      <c r="H74" s="23">
        <f t="shared" si="4"/>
        <v>159.722222222222</v>
      </c>
      <c r="I74" s="61">
        <f t="shared" si="5"/>
        <v>101.388888888889</v>
      </c>
      <c r="J74" s="23">
        <f t="shared" si="7"/>
        <v>118.055555555556</v>
      </c>
      <c r="K74" s="61">
        <f t="shared" si="6"/>
        <v>59.7222222222222</v>
      </c>
      <c r="L74" s="63" t="s">
        <v>25</v>
      </c>
      <c r="M74" s="64" t="s">
        <v>21</v>
      </c>
      <c r="N74" s="90" t="s">
        <v>22</v>
      </c>
      <c r="O74" s="91" t="s">
        <v>23</v>
      </c>
    </row>
    <row r="75" spans="3:15" ht="30">
      <c r="C75" s="111"/>
      <c r="D75" s="83">
        <v>700</v>
      </c>
      <c r="E75" s="83">
        <v>170</v>
      </c>
      <c r="F75" s="79" t="s">
        <v>27</v>
      </c>
      <c r="G75" s="80" t="s">
        <v>28</v>
      </c>
      <c r="H75" s="44">
        <f t="shared" si="4"/>
        <v>180.555555555556</v>
      </c>
      <c r="I75" s="70">
        <f t="shared" si="5"/>
        <v>106.944444444444</v>
      </c>
      <c r="J75" s="44">
        <f t="shared" si="7"/>
        <v>138.888888888889</v>
      </c>
      <c r="K75" s="70">
        <f t="shared" si="6"/>
        <v>65.2777777777778</v>
      </c>
      <c r="L75" s="72" t="s">
        <v>29</v>
      </c>
      <c r="M75" s="62" t="s">
        <v>30</v>
      </c>
      <c r="N75" s="92" t="s">
        <v>31</v>
      </c>
      <c r="O75" s="93" t="s">
        <v>23</v>
      </c>
    </row>
    <row r="76" spans="3:15" ht="45">
      <c r="C76" s="109" t="s">
        <v>45</v>
      </c>
      <c r="D76" s="83">
        <v>400</v>
      </c>
      <c r="E76" s="83">
        <v>120</v>
      </c>
      <c r="F76" s="18" t="s">
        <v>18</v>
      </c>
      <c r="G76" s="104" t="s">
        <v>19</v>
      </c>
      <c r="H76" s="19">
        <f t="shared" si="4"/>
        <v>138.888888888889</v>
      </c>
      <c r="I76" s="58">
        <f t="shared" si="5"/>
        <v>100</v>
      </c>
      <c r="J76" s="19">
        <f t="shared" si="7"/>
        <v>97.2222222222222</v>
      </c>
      <c r="K76" s="58">
        <f t="shared" si="6"/>
        <v>58.3333333333333</v>
      </c>
      <c r="L76" s="60" t="s">
        <v>20</v>
      </c>
      <c r="M76" s="65" t="s">
        <v>21</v>
      </c>
      <c r="N76" s="88" t="s">
        <v>22</v>
      </c>
      <c r="O76" s="89" t="s">
        <v>23</v>
      </c>
    </row>
    <row r="77" spans="3:15" ht="30">
      <c r="C77" s="110"/>
      <c r="D77" s="83">
        <v>450</v>
      </c>
      <c r="E77" s="83">
        <v>120</v>
      </c>
      <c r="F77" s="22" t="s">
        <v>24</v>
      </c>
      <c r="G77" s="105"/>
      <c r="H77" s="23">
        <f t="shared" si="4"/>
        <v>145.833333333333</v>
      </c>
      <c r="I77" s="61">
        <f t="shared" si="5"/>
        <v>100</v>
      </c>
      <c r="J77" s="23">
        <f t="shared" si="7"/>
        <v>104.166666666667</v>
      </c>
      <c r="K77" s="61">
        <f t="shared" si="6"/>
        <v>58.3333333333333</v>
      </c>
      <c r="L77" s="63" t="s">
        <v>25</v>
      </c>
      <c r="M77" s="64" t="s">
        <v>21</v>
      </c>
      <c r="N77" s="90" t="s">
        <v>22</v>
      </c>
      <c r="O77" s="91" t="s">
        <v>23</v>
      </c>
    </row>
    <row r="78" spans="3:15" ht="30">
      <c r="C78" s="110"/>
      <c r="D78" s="83">
        <v>500</v>
      </c>
      <c r="E78" s="83">
        <v>120</v>
      </c>
      <c r="F78" s="76" t="s">
        <v>26</v>
      </c>
      <c r="G78" s="105"/>
      <c r="H78" s="23">
        <f t="shared" si="4"/>
        <v>152.777777777778</v>
      </c>
      <c r="I78" s="61">
        <f t="shared" si="5"/>
        <v>100</v>
      </c>
      <c r="J78" s="23">
        <f t="shared" si="7"/>
        <v>111.111111111111</v>
      </c>
      <c r="K78" s="61">
        <f t="shared" si="6"/>
        <v>58.3333333333333</v>
      </c>
      <c r="L78" s="63" t="s">
        <v>25</v>
      </c>
      <c r="M78" s="64" t="s">
        <v>21</v>
      </c>
      <c r="N78" s="90" t="s">
        <v>22</v>
      </c>
      <c r="O78" s="91" t="s">
        <v>23</v>
      </c>
    </row>
    <row r="79" spans="3:15" ht="30">
      <c r="C79" s="111"/>
      <c r="D79" s="83">
        <v>450</v>
      </c>
      <c r="E79" s="83">
        <v>120</v>
      </c>
      <c r="F79" s="79" t="s">
        <v>27</v>
      </c>
      <c r="G79" s="80" t="s">
        <v>28</v>
      </c>
      <c r="H79" s="44">
        <f t="shared" si="4"/>
        <v>145.833333333333</v>
      </c>
      <c r="I79" s="70">
        <f t="shared" si="5"/>
        <v>100</v>
      </c>
      <c r="J79" s="44">
        <f t="shared" si="7"/>
        <v>104.166666666667</v>
      </c>
      <c r="K79" s="70">
        <f t="shared" si="6"/>
        <v>58.3333333333333</v>
      </c>
      <c r="L79" s="72" t="s">
        <v>29</v>
      </c>
      <c r="M79" s="62" t="s">
        <v>30</v>
      </c>
      <c r="N79" s="92" t="s">
        <v>31</v>
      </c>
      <c r="O79" s="93" t="s">
        <v>23</v>
      </c>
    </row>
    <row r="80" spans="3:15" ht="45">
      <c r="C80" s="109" t="s">
        <v>46</v>
      </c>
      <c r="D80" s="83">
        <v>500</v>
      </c>
      <c r="E80" s="83">
        <v>150</v>
      </c>
      <c r="F80" s="18" t="s">
        <v>18</v>
      </c>
      <c r="G80" s="104" t="s">
        <v>19</v>
      </c>
      <c r="H80" s="19">
        <f t="shared" si="4"/>
        <v>152.777777777778</v>
      </c>
      <c r="I80" s="58">
        <f t="shared" si="5"/>
        <v>104.166666666667</v>
      </c>
      <c r="J80" s="101">
        <f t="shared" si="7"/>
        <v>111.111111111111</v>
      </c>
      <c r="K80" s="74">
        <f t="shared" si="6"/>
        <v>62.5</v>
      </c>
      <c r="L80" s="60" t="s">
        <v>20</v>
      </c>
      <c r="M80" s="65" t="s">
        <v>21</v>
      </c>
      <c r="N80" s="88" t="s">
        <v>22</v>
      </c>
      <c r="O80" s="89" t="s">
        <v>23</v>
      </c>
    </row>
    <row r="81" spans="3:15" ht="30">
      <c r="C81" s="110"/>
      <c r="D81" s="83">
        <v>800</v>
      </c>
      <c r="E81" s="83">
        <v>180</v>
      </c>
      <c r="F81" s="22" t="s">
        <v>24</v>
      </c>
      <c r="G81" s="105"/>
      <c r="H81" s="23">
        <f t="shared" si="4"/>
        <v>194.444444444444</v>
      </c>
      <c r="I81" s="61">
        <f t="shared" si="5"/>
        <v>108.333333333333</v>
      </c>
      <c r="J81" s="67">
        <f t="shared" si="7"/>
        <v>152.777777777778</v>
      </c>
      <c r="K81" s="61">
        <f t="shared" si="6"/>
        <v>66.6666666666667</v>
      </c>
      <c r="L81" s="63" t="s">
        <v>25</v>
      </c>
      <c r="M81" s="64" t="s">
        <v>21</v>
      </c>
      <c r="N81" s="90" t="s">
        <v>22</v>
      </c>
      <c r="O81" s="91" t="s">
        <v>23</v>
      </c>
    </row>
    <row r="82" spans="3:15" ht="30">
      <c r="C82" s="110"/>
      <c r="D82" s="83">
        <v>650</v>
      </c>
      <c r="E82" s="83">
        <v>150</v>
      </c>
      <c r="F82" s="76" t="s">
        <v>26</v>
      </c>
      <c r="G82" s="105"/>
      <c r="H82" s="23">
        <f t="shared" si="4"/>
        <v>173.611111111111</v>
      </c>
      <c r="I82" s="61">
        <f t="shared" si="5"/>
        <v>104.166666666667</v>
      </c>
      <c r="J82" s="67">
        <f t="shared" si="7"/>
        <v>131.944444444444</v>
      </c>
      <c r="K82" s="61">
        <f t="shared" si="6"/>
        <v>62.5</v>
      </c>
      <c r="L82" s="63" t="s">
        <v>25</v>
      </c>
      <c r="M82" s="64" t="s">
        <v>21</v>
      </c>
      <c r="N82" s="90" t="s">
        <v>22</v>
      </c>
      <c r="O82" s="91" t="s">
        <v>23</v>
      </c>
    </row>
    <row r="83" spans="3:15" ht="30">
      <c r="C83" s="111"/>
      <c r="D83" s="83">
        <v>800</v>
      </c>
      <c r="E83" s="83">
        <v>180</v>
      </c>
      <c r="F83" s="79" t="s">
        <v>27</v>
      </c>
      <c r="G83" s="80" t="s">
        <v>28</v>
      </c>
      <c r="H83" s="44">
        <f t="shared" si="4"/>
        <v>194.444444444444</v>
      </c>
      <c r="I83" s="70">
        <f t="shared" si="5"/>
        <v>108.333333333333</v>
      </c>
      <c r="J83" s="102">
        <f t="shared" si="7"/>
        <v>152.777777777778</v>
      </c>
      <c r="K83" s="69">
        <f t="shared" si="6"/>
        <v>66.6666666666667</v>
      </c>
      <c r="L83" s="72" t="s">
        <v>29</v>
      </c>
      <c r="M83" s="62" t="s">
        <v>30</v>
      </c>
      <c r="N83" s="92" t="s">
        <v>31</v>
      </c>
      <c r="O83" s="93" t="s">
        <v>23</v>
      </c>
    </row>
    <row r="84" spans="3:15" ht="45">
      <c r="C84" s="109" t="s">
        <v>47</v>
      </c>
      <c r="D84" s="83">
        <v>650</v>
      </c>
      <c r="E84" s="83">
        <v>160</v>
      </c>
      <c r="F84" s="18" t="s">
        <v>18</v>
      </c>
      <c r="G84" s="104" t="s">
        <v>19</v>
      </c>
      <c r="H84" s="19">
        <f t="shared" si="4"/>
        <v>173.611111111111</v>
      </c>
      <c r="I84" s="58">
        <f t="shared" si="5"/>
        <v>105.555555555556</v>
      </c>
      <c r="J84" s="19">
        <f t="shared" si="7"/>
        <v>131.944444444444</v>
      </c>
      <c r="K84" s="58">
        <f t="shared" si="6"/>
        <v>63.8888888888889</v>
      </c>
      <c r="L84" s="60" t="s">
        <v>20</v>
      </c>
      <c r="M84" s="65" t="s">
        <v>21</v>
      </c>
      <c r="N84" s="88" t="s">
        <v>22</v>
      </c>
      <c r="O84" s="89" t="s">
        <v>23</v>
      </c>
    </row>
    <row r="85" spans="3:15" ht="30">
      <c r="C85" s="110"/>
      <c r="D85" s="83">
        <v>950</v>
      </c>
      <c r="E85" s="83">
        <v>200</v>
      </c>
      <c r="F85" s="22" t="s">
        <v>24</v>
      </c>
      <c r="G85" s="105"/>
      <c r="H85" s="23">
        <f t="shared" ref="H85:H115" si="8">(H$16*D85+D$18)/J$16</f>
        <v>215.277777777778</v>
      </c>
      <c r="I85" s="61">
        <f t="shared" ref="I85:I115" si="9">(I$16*E85+D$18)/J$16</f>
        <v>111.111111111111</v>
      </c>
      <c r="J85" s="23">
        <f t="shared" si="7"/>
        <v>173.611111111111</v>
      </c>
      <c r="K85" s="61">
        <f t="shared" ref="K85:K115" si="10">(I$16*E85+E$18)/J$16</f>
        <v>69.4444444444444</v>
      </c>
      <c r="L85" s="63" t="s">
        <v>25</v>
      </c>
      <c r="M85" s="64" t="s">
        <v>21</v>
      </c>
      <c r="N85" s="90" t="s">
        <v>22</v>
      </c>
      <c r="O85" s="91" t="s">
        <v>23</v>
      </c>
    </row>
    <row r="86" spans="3:15" ht="30">
      <c r="C86" s="110"/>
      <c r="D86" s="83">
        <v>650</v>
      </c>
      <c r="E86" s="83">
        <v>160</v>
      </c>
      <c r="F86" s="76" t="s">
        <v>26</v>
      </c>
      <c r="G86" s="105"/>
      <c r="H86" s="23">
        <f t="shared" si="8"/>
        <v>173.611111111111</v>
      </c>
      <c r="I86" s="61">
        <f t="shared" si="9"/>
        <v>105.555555555556</v>
      </c>
      <c r="J86" s="23">
        <f t="shared" si="7"/>
        <v>131.944444444444</v>
      </c>
      <c r="K86" s="61">
        <f t="shared" si="10"/>
        <v>63.8888888888889</v>
      </c>
      <c r="L86" s="63" t="s">
        <v>25</v>
      </c>
      <c r="M86" s="64" t="s">
        <v>21</v>
      </c>
      <c r="N86" s="90" t="s">
        <v>22</v>
      </c>
      <c r="O86" s="91" t="s">
        <v>23</v>
      </c>
    </row>
    <row r="87" spans="3:15" ht="30">
      <c r="C87" s="111"/>
      <c r="D87" s="83">
        <v>950</v>
      </c>
      <c r="E87" s="83">
        <v>200</v>
      </c>
      <c r="F87" s="79" t="s">
        <v>27</v>
      </c>
      <c r="G87" s="80" t="s">
        <v>28</v>
      </c>
      <c r="H87" s="44">
        <f t="shared" si="8"/>
        <v>215.277777777778</v>
      </c>
      <c r="I87" s="70">
        <f t="shared" si="9"/>
        <v>111.111111111111</v>
      </c>
      <c r="J87" s="44">
        <f t="shared" si="7"/>
        <v>173.611111111111</v>
      </c>
      <c r="K87" s="70">
        <f t="shared" si="10"/>
        <v>69.4444444444444</v>
      </c>
      <c r="L87" s="72" t="s">
        <v>29</v>
      </c>
      <c r="M87" s="62" t="s">
        <v>30</v>
      </c>
      <c r="N87" s="92" t="s">
        <v>31</v>
      </c>
      <c r="O87" s="93" t="s">
        <v>23</v>
      </c>
    </row>
    <row r="88" spans="3:15" ht="45">
      <c r="C88" s="109" t="s">
        <v>48</v>
      </c>
      <c r="D88" s="83">
        <v>650</v>
      </c>
      <c r="E88" s="83">
        <v>160</v>
      </c>
      <c r="F88" s="18" t="s">
        <v>18</v>
      </c>
      <c r="G88" s="104" t="s">
        <v>19</v>
      </c>
      <c r="H88" s="19">
        <f t="shared" si="8"/>
        <v>173.611111111111</v>
      </c>
      <c r="I88" s="58">
        <f t="shared" si="9"/>
        <v>105.555555555556</v>
      </c>
      <c r="J88" s="19">
        <f t="shared" ref="J88:J115" si="11">(H$16*D88+E$18)/J$16</f>
        <v>131.944444444444</v>
      </c>
      <c r="K88" s="58">
        <f t="shared" si="10"/>
        <v>63.8888888888889</v>
      </c>
      <c r="L88" s="60" t="s">
        <v>20</v>
      </c>
      <c r="M88" s="65" t="s">
        <v>21</v>
      </c>
      <c r="N88" s="88" t="s">
        <v>22</v>
      </c>
      <c r="O88" s="89" t="s">
        <v>23</v>
      </c>
    </row>
    <row r="89" spans="3:15" ht="30">
      <c r="C89" s="110"/>
      <c r="D89" s="83">
        <v>950</v>
      </c>
      <c r="E89" s="83">
        <v>200</v>
      </c>
      <c r="F89" s="22" t="s">
        <v>24</v>
      </c>
      <c r="G89" s="105"/>
      <c r="H89" s="23">
        <f t="shared" si="8"/>
        <v>215.277777777778</v>
      </c>
      <c r="I89" s="61">
        <f t="shared" si="9"/>
        <v>111.111111111111</v>
      </c>
      <c r="J89" s="23">
        <f t="shared" si="11"/>
        <v>173.611111111111</v>
      </c>
      <c r="K89" s="61">
        <f t="shared" si="10"/>
        <v>69.4444444444444</v>
      </c>
      <c r="L89" s="63" t="s">
        <v>25</v>
      </c>
      <c r="M89" s="64" t="s">
        <v>21</v>
      </c>
      <c r="N89" s="90" t="s">
        <v>22</v>
      </c>
      <c r="O89" s="91" t="s">
        <v>23</v>
      </c>
    </row>
    <row r="90" spans="3:15" ht="30">
      <c r="C90" s="110"/>
      <c r="D90" s="83">
        <v>650</v>
      </c>
      <c r="E90" s="83">
        <v>160</v>
      </c>
      <c r="F90" s="76" t="s">
        <v>26</v>
      </c>
      <c r="G90" s="105"/>
      <c r="H90" s="23">
        <f t="shared" si="8"/>
        <v>173.611111111111</v>
      </c>
      <c r="I90" s="61">
        <f t="shared" si="9"/>
        <v>105.555555555556</v>
      </c>
      <c r="J90" s="23">
        <f t="shared" si="11"/>
        <v>131.944444444444</v>
      </c>
      <c r="K90" s="61">
        <f t="shared" si="10"/>
        <v>63.8888888888889</v>
      </c>
      <c r="L90" s="63" t="s">
        <v>25</v>
      </c>
      <c r="M90" s="64" t="s">
        <v>21</v>
      </c>
      <c r="N90" s="90" t="s">
        <v>22</v>
      </c>
      <c r="O90" s="91" t="s">
        <v>23</v>
      </c>
    </row>
    <row r="91" spans="3:15" ht="30">
      <c r="C91" s="111"/>
      <c r="D91" s="83">
        <v>950</v>
      </c>
      <c r="E91" s="83">
        <v>200</v>
      </c>
      <c r="F91" s="79" t="s">
        <v>27</v>
      </c>
      <c r="G91" s="80" t="s">
        <v>28</v>
      </c>
      <c r="H91" s="44">
        <f t="shared" si="8"/>
        <v>215.277777777778</v>
      </c>
      <c r="I91" s="70">
        <f t="shared" si="9"/>
        <v>111.111111111111</v>
      </c>
      <c r="J91" s="44">
        <f t="shared" si="11"/>
        <v>173.611111111111</v>
      </c>
      <c r="K91" s="70">
        <f t="shared" si="10"/>
        <v>69.4444444444444</v>
      </c>
      <c r="L91" s="72" t="s">
        <v>29</v>
      </c>
      <c r="M91" s="62" t="s">
        <v>30</v>
      </c>
      <c r="N91" s="92" t="s">
        <v>31</v>
      </c>
      <c r="O91" s="93" t="s">
        <v>23</v>
      </c>
    </row>
    <row r="92" spans="3:15" ht="45">
      <c r="C92" s="109" t="s">
        <v>49</v>
      </c>
      <c r="D92" s="83">
        <v>700</v>
      </c>
      <c r="E92" s="83">
        <v>190</v>
      </c>
      <c r="F92" s="18" t="s">
        <v>18</v>
      </c>
      <c r="G92" s="104" t="s">
        <v>19</v>
      </c>
      <c r="H92" s="19">
        <f t="shared" si="8"/>
        <v>180.555555555556</v>
      </c>
      <c r="I92" s="58">
        <f t="shared" si="9"/>
        <v>109.722222222222</v>
      </c>
      <c r="J92" s="19">
        <f t="shared" si="11"/>
        <v>138.888888888889</v>
      </c>
      <c r="K92" s="58">
        <f t="shared" si="10"/>
        <v>68.0555555555556</v>
      </c>
      <c r="L92" s="60" t="s">
        <v>20</v>
      </c>
      <c r="M92" s="65" t="s">
        <v>21</v>
      </c>
      <c r="N92" s="88" t="s">
        <v>22</v>
      </c>
      <c r="O92" s="89" t="s">
        <v>23</v>
      </c>
    </row>
    <row r="93" spans="3:15" ht="30">
      <c r="C93" s="110"/>
      <c r="D93" s="83">
        <v>500</v>
      </c>
      <c r="E93" s="83">
        <v>120</v>
      </c>
      <c r="F93" s="22" t="s">
        <v>24</v>
      </c>
      <c r="G93" s="105"/>
      <c r="H93" s="23">
        <f t="shared" si="8"/>
        <v>152.777777777778</v>
      </c>
      <c r="I93" s="61">
        <f t="shared" si="9"/>
        <v>100</v>
      </c>
      <c r="J93" s="23">
        <f t="shared" si="11"/>
        <v>111.111111111111</v>
      </c>
      <c r="K93" s="61">
        <f t="shared" si="10"/>
        <v>58.3333333333333</v>
      </c>
      <c r="L93" s="63" t="s">
        <v>25</v>
      </c>
      <c r="M93" s="64" t="s">
        <v>21</v>
      </c>
      <c r="N93" s="90" t="s">
        <v>22</v>
      </c>
      <c r="O93" s="91" t="s">
        <v>23</v>
      </c>
    </row>
    <row r="94" spans="3:15" ht="30">
      <c r="C94" s="110"/>
      <c r="D94" s="83">
        <v>500</v>
      </c>
      <c r="E94" s="83">
        <v>120</v>
      </c>
      <c r="F94" s="76" t="s">
        <v>26</v>
      </c>
      <c r="G94" s="105"/>
      <c r="H94" s="23">
        <f t="shared" si="8"/>
        <v>152.777777777778</v>
      </c>
      <c r="I94" s="61">
        <f t="shared" si="9"/>
        <v>100</v>
      </c>
      <c r="J94" s="23">
        <f t="shared" si="11"/>
        <v>111.111111111111</v>
      </c>
      <c r="K94" s="61">
        <f t="shared" si="10"/>
        <v>58.3333333333333</v>
      </c>
      <c r="L94" s="63" t="s">
        <v>25</v>
      </c>
      <c r="M94" s="64" t="s">
        <v>21</v>
      </c>
      <c r="N94" s="90" t="s">
        <v>22</v>
      </c>
      <c r="O94" s="91" t="s">
        <v>23</v>
      </c>
    </row>
    <row r="95" spans="3:15" ht="32" customHeight="1">
      <c r="C95" s="111"/>
      <c r="D95" s="83">
        <v>500</v>
      </c>
      <c r="E95" s="83">
        <v>120</v>
      </c>
      <c r="F95" s="79" t="s">
        <v>27</v>
      </c>
      <c r="G95" s="80" t="s">
        <v>28</v>
      </c>
      <c r="H95" s="44">
        <f t="shared" si="8"/>
        <v>152.777777777778</v>
      </c>
      <c r="I95" s="70">
        <f t="shared" si="9"/>
        <v>100</v>
      </c>
      <c r="J95" s="44">
        <f t="shared" si="11"/>
        <v>111.111111111111</v>
      </c>
      <c r="K95" s="70">
        <f t="shared" si="10"/>
        <v>58.3333333333333</v>
      </c>
      <c r="L95" s="72" t="s">
        <v>29</v>
      </c>
      <c r="M95" s="62" t="s">
        <v>30</v>
      </c>
      <c r="N95" s="92" t="s">
        <v>31</v>
      </c>
      <c r="O95" s="93" t="s">
        <v>23</v>
      </c>
    </row>
    <row r="96" spans="3:15" ht="45">
      <c r="C96" s="109" t="s">
        <v>50</v>
      </c>
      <c r="D96" s="83">
        <v>700</v>
      </c>
      <c r="E96" s="83">
        <v>190</v>
      </c>
      <c r="F96" s="18" t="s">
        <v>18</v>
      </c>
      <c r="G96" s="104" t="s">
        <v>19</v>
      </c>
      <c r="H96" s="19">
        <f t="shared" si="8"/>
        <v>180.555555555556</v>
      </c>
      <c r="I96" s="58">
        <f t="shared" si="9"/>
        <v>109.722222222222</v>
      </c>
      <c r="J96" s="19">
        <f t="shared" si="11"/>
        <v>138.888888888889</v>
      </c>
      <c r="K96" s="58">
        <f t="shared" si="10"/>
        <v>68.0555555555556</v>
      </c>
      <c r="L96" s="60" t="s">
        <v>20</v>
      </c>
      <c r="M96" s="65" t="s">
        <v>21</v>
      </c>
      <c r="N96" s="88" t="s">
        <v>22</v>
      </c>
      <c r="O96" s="89" t="s">
        <v>23</v>
      </c>
    </row>
    <row r="97" spans="3:15" ht="30">
      <c r="C97" s="110"/>
      <c r="D97" s="83">
        <v>500</v>
      </c>
      <c r="E97" s="83">
        <v>120</v>
      </c>
      <c r="F97" s="22" t="s">
        <v>24</v>
      </c>
      <c r="G97" s="105"/>
      <c r="H97" s="23">
        <f t="shared" si="8"/>
        <v>152.777777777778</v>
      </c>
      <c r="I97" s="61">
        <f t="shared" si="9"/>
        <v>100</v>
      </c>
      <c r="J97" s="23">
        <f t="shared" si="11"/>
        <v>111.111111111111</v>
      </c>
      <c r="K97" s="61">
        <f t="shared" si="10"/>
        <v>58.3333333333333</v>
      </c>
      <c r="L97" s="63" t="s">
        <v>25</v>
      </c>
      <c r="M97" s="64" t="s">
        <v>21</v>
      </c>
      <c r="N97" s="90" t="s">
        <v>22</v>
      </c>
      <c r="O97" s="91" t="s">
        <v>23</v>
      </c>
    </row>
    <row r="98" spans="3:15" ht="30">
      <c r="C98" s="110"/>
      <c r="D98" s="83">
        <v>500</v>
      </c>
      <c r="E98" s="83">
        <v>120</v>
      </c>
      <c r="F98" s="76" t="s">
        <v>26</v>
      </c>
      <c r="G98" s="105"/>
      <c r="H98" s="23">
        <f t="shared" si="8"/>
        <v>152.777777777778</v>
      </c>
      <c r="I98" s="61">
        <f t="shared" si="9"/>
        <v>100</v>
      </c>
      <c r="J98" s="23">
        <f t="shared" si="11"/>
        <v>111.111111111111</v>
      </c>
      <c r="K98" s="61">
        <f t="shared" si="10"/>
        <v>58.3333333333333</v>
      </c>
      <c r="L98" s="63" t="s">
        <v>25</v>
      </c>
      <c r="M98" s="64" t="s">
        <v>21</v>
      </c>
      <c r="N98" s="90" t="s">
        <v>22</v>
      </c>
      <c r="O98" s="91" t="s">
        <v>23</v>
      </c>
    </row>
    <row r="99" spans="3:15" ht="30">
      <c r="C99" s="111"/>
      <c r="D99" s="83">
        <v>500</v>
      </c>
      <c r="E99" s="83">
        <v>120</v>
      </c>
      <c r="F99" s="79" t="s">
        <v>27</v>
      </c>
      <c r="G99" s="80" t="s">
        <v>28</v>
      </c>
      <c r="H99" s="44">
        <f t="shared" si="8"/>
        <v>152.777777777778</v>
      </c>
      <c r="I99" s="70">
        <f t="shared" si="9"/>
        <v>100</v>
      </c>
      <c r="J99" s="44">
        <f t="shared" si="11"/>
        <v>111.111111111111</v>
      </c>
      <c r="K99" s="70">
        <f t="shared" si="10"/>
        <v>58.3333333333333</v>
      </c>
      <c r="L99" s="72" t="s">
        <v>29</v>
      </c>
      <c r="M99" s="62" t="s">
        <v>30</v>
      </c>
      <c r="N99" s="92" t="s">
        <v>31</v>
      </c>
      <c r="O99" s="93" t="s">
        <v>23</v>
      </c>
    </row>
    <row r="100" spans="3:15" ht="45">
      <c r="C100" s="109" t="s">
        <v>51</v>
      </c>
      <c r="D100" s="83">
        <v>400</v>
      </c>
      <c r="E100" s="83">
        <v>120</v>
      </c>
      <c r="F100" s="18" t="s">
        <v>18</v>
      </c>
      <c r="G100" s="104" t="s">
        <v>19</v>
      </c>
      <c r="H100" s="19">
        <f t="shared" si="8"/>
        <v>138.888888888889</v>
      </c>
      <c r="I100" s="58">
        <f t="shared" si="9"/>
        <v>100</v>
      </c>
      <c r="J100" s="19">
        <f t="shared" si="11"/>
        <v>97.2222222222222</v>
      </c>
      <c r="K100" s="58">
        <f t="shared" si="10"/>
        <v>58.3333333333333</v>
      </c>
      <c r="L100" s="60" t="s">
        <v>20</v>
      </c>
      <c r="M100" s="65" t="s">
        <v>21</v>
      </c>
      <c r="N100" s="88" t="s">
        <v>22</v>
      </c>
      <c r="O100" s="89" t="s">
        <v>23</v>
      </c>
    </row>
    <row r="101" spans="3:15" ht="30">
      <c r="C101" s="110"/>
      <c r="D101" s="83">
        <v>550</v>
      </c>
      <c r="E101" s="83">
        <v>140</v>
      </c>
      <c r="F101" s="22" t="s">
        <v>24</v>
      </c>
      <c r="G101" s="105"/>
      <c r="H101" s="23">
        <f t="shared" si="8"/>
        <v>159.722222222222</v>
      </c>
      <c r="I101" s="61">
        <f t="shared" si="9"/>
        <v>102.777777777778</v>
      </c>
      <c r="J101" s="23">
        <f t="shared" si="11"/>
        <v>118.055555555556</v>
      </c>
      <c r="K101" s="61">
        <f t="shared" si="10"/>
        <v>61.1111111111111</v>
      </c>
      <c r="L101" s="63" t="s">
        <v>25</v>
      </c>
      <c r="M101" s="64" t="s">
        <v>21</v>
      </c>
      <c r="N101" s="90" t="s">
        <v>22</v>
      </c>
      <c r="O101" s="91" t="s">
        <v>23</v>
      </c>
    </row>
    <row r="102" spans="3:15" ht="30">
      <c r="C102" s="110"/>
      <c r="D102" s="83">
        <v>450</v>
      </c>
      <c r="E102" s="83">
        <v>120</v>
      </c>
      <c r="F102" s="76" t="s">
        <v>26</v>
      </c>
      <c r="G102" s="105"/>
      <c r="H102" s="23">
        <f t="shared" si="8"/>
        <v>145.833333333333</v>
      </c>
      <c r="I102" s="61">
        <f t="shared" si="9"/>
        <v>100</v>
      </c>
      <c r="J102" s="23">
        <f t="shared" si="11"/>
        <v>104.166666666667</v>
      </c>
      <c r="K102" s="61">
        <f t="shared" si="10"/>
        <v>58.3333333333333</v>
      </c>
      <c r="L102" s="63" t="s">
        <v>25</v>
      </c>
      <c r="M102" s="64" t="s">
        <v>21</v>
      </c>
      <c r="N102" s="90" t="s">
        <v>22</v>
      </c>
      <c r="O102" s="91" t="s">
        <v>23</v>
      </c>
    </row>
    <row r="103" spans="3:15" ht="30">
      <c r="C103" s="111"/>
      <c r="D103" s="83">
        <v>550</v>
      </c>
      <c r="E103" s="83">
        <v>140</v>
      </c>
      <c r="F103" s="79" t="s">
        <v>27</v>
      </c>
      <c r="G103" s="80" t="s">
        <v>28</v>
      </c>
      <c r="H103" s="44">
        <f t="shared" si="8"/>
        <v>159.722222222222</v>
      </c>
      <c r="I103" s="70">
        <f t="shared" si="9"/>
        <v>102.777777777778</v>
      </c>
      <c r="J103" s="44">
        <f t="shared" si="11"/>
        <v>118.055555555556</v>
      </c>
      <c r="K103" s="70">
        <f t="shared" si="10"/>
        <v>61.1111111111111</v>
      </c>
      <c r="L103" s="72" t="s">
        <v>29</v>
      </c>
      <c r="M103" s="62" t="s">
        <v>30</v>
      </c>
      <c r="N103" s="92" t="s">
        <v>31</v>
      </c>
      <c r="O103" s="93" t="s">
        <v>23</v>
      </c>
    </row>
    <row r="104" spans="3:15" ht="45">
      <c r="C104" s="109" t="s">
        <v>52</v>
      </c>
      <c r="D104" s="83">
        <v>400</v>
      </c>
      <c r="E104" s="83">
        <v>100</v>
      </c>
      <c r="F104" s="18" t="s">
        <v>18</v>
      </c>
      <c r="G104" s="104" t="s">
        <v>19</v>
      </c>
      <c r="H104" s="19">
        <f t="shared" si="8"/>
        <v>138.888888888889</v>
      </c>
      <c r="I104" s="58">
        <f t="shared" si="9"/>
        <v>97.2222222222222</v>
      </c>
      <c r="J104" s="19">
        <f t="shared" si="11"/>
        <v>97.2222222222222</v>
      </c>
      <c r="K104" s="58">
        <f t="shared" si="10"/>
        <v>55.5555555555556</v>
      </c>
      <c r="L104" s="60" t="s">
        <v>20</v>
      </c>
      <c r="M104" s="65" t="s">
        <v>21</v>
      </c>
      <c r="N104" s="88" t="s">
        <v>22</v>
      </c>
      <c r="O104" s="89" t="s">
        <v>23</v>
      </c>
    </row>
    <row r="105" spans="3:15" ht="30">
      <c r="C105" s="110"/>
      <c r="D105" s="83">
        <v>550</v>
      </c>
      <c r="E105" s="83">
        <v>150</v>
      </c>
      <c r="F105" s="22" t="s">
        <v>24</v>
      </c>
      <c r="G105" s="105"/>
      <c r="H105" s="23">
        <f t="shared" si="8"/>
        <v>159.722222222222</v>
      </c>
      <c r="I105" s="61">
        <f t="shared" si="9"/>
        <v>104.166666666667</v>
      </c>
      <c r="J105" s="23">
        <f t="shared" si="11"/>
        <v>118.055555555556</v>
      </c>
      <c r="K105" s="61">
        <f t="shared" si="10"/>
        <v>62.5</v>
      </c>
      <c r="L105" s="63" t="s">
        <v>25</v>
      </c>
      <c r="M105" s="64" t="s">
        <v>21</v>
      </c>
      <c r="N105" s="90" t="s">
        <v>22</v>
      </c>
      <c r="O105" s="91" t="s">
        <v>23</v>
      </c>
    </row>
    <row r="106" spans="3:15" ht="30">
      <c r="C106" s="110"/>
      <c r="D106" s="83">
        <v>400</v>
      </c>
      <c r="E106" s="83">
        <v>100</v>
      </c>
      <c r="F106" s="76" t="s">
        <v>26</v>
      </c>
      <c r="G106" s="105"/>
      <c r="H106" s="23">
        <f t="shared" si="8"/>
        <v>138.888888888889</v>
      </c>
      <c r="I106" s="61">
        <f t="shared" si="9"/>
        <v>97.2222222222222</v>
      </c>
      <c r="J106" s="23">
        <f t="shared" si="11"/>
        <v>97.2222222222222</v>
      </c>
      <c r="K106" s="61">
        <f t="shared" si="10"/>
        <v>55.5555555555556</v>
      </c>
      <c r="L106" s="63" t="s">
        <v>25</v>
      </c>
      <c r="M106" s="64" t="s">
        <v>21</v>
      </c>
      <c r="N106" s="90" t="s">
        <v>22</v>
      </c>
      <c r="O106" s="91" t="s">
        <v>23</v>
      </c>
    </row>
    <row r="107" spans="3:15" ht="30">
      <c r="C107" s="111"/>
      <c r="D107" s="83">
        <v>550</v>
      </c>
      <c r="E107" s="83">
        <v>150</v>
      </c>
      <c r="F107" s="79" t="s">
        <v>27</v>
      </c>
      <c r="G107" s="80" t="s">
        <v>28</v>
      </c>
      <c r="H107" s="44">
        <f t="shared" si="8"/>
        <v>159.722222222222</v>
      </c>
      <c r="I107" s="70">
        <f t="shared" si="9"/>
        <v>104.166666666667</v>
      </c>
      <c r="J107" s="44">
        <f t="shared" si="11"/>
        <v>118.055555555556</v>
      </c>
      <c r="K107" s="70">
        <f t="shared" si="10"/>
        <v>62.5</v>
      </c>
      <c r="L107" s="72" t="s">
        <v>29</v>
      </c>
      <c r="M107" s="62" t="s">
        <v>30</v>
      </c>
      <c r="N107" s="92" t="s">
        <v>31</v>
      </c>
      <c r="O107" s="93" t="s">
        <v>23</v>
      </c>
    </row>
    <row r="108" spans="3:15" ht="45">
      <c r="C108" s="109" t="s">
        <v>53</v>
      </c>
      <c r="D108" s="83">
        <v>550</v>
      </c>
      <c r="E108" s="83">
        <v>120</v>
      </c>
      <c r="F108" s="18" t="s">
        <v>18</v>
      </c>
      <c r="G108" s="104" t="s">
        <v>19</v>
      </c>
      <c r="H108" s="19">
        <f t="shared" si="8"/>
        <v>159.722222222222</v>
      </c>
      <c r="I108" s="58">
        <f t="shared" si="9"/>
        <v>100</v>
      </c>
      <c r="J108" s="19">
        <f t="shared" si="11"/>
        <v>118.055555555556</v>
      </c>
      <c r="K108" s="58">
        <f t="shared" si="10"/>
        <v>58.3333333333333</v>
      </c>
      <c r="L108" s="60" t="s">
        <v>20</v>
      </c>
      <c r="M108" s="65" t="s">
        <v>21</v>
      </c>
      <c r="N108" s="88" t="s">
        <v>22</v>
      </c>
      <c r="O108" s="89" t="s">
        <v>23</v>
      </c>
    </row>
    <row r="109" spans="3:15" ht="30">
      <c r="C109" s="110"/>
      <c r="D109" s="83">
        <v>200</v>
      </c>
      <c r="E109" s="83">
        <v>70</v>
      </c>
      <c r="F109" s="22" t="s">
        <v>24</v>
      </c>
      <c r="G109" s="105"/>
      <c r="H109" s="23">
        <f t="shared" si="8"/>
        <v>111.111111111111</v>
      </c>
      <c r="I109" s="61">
        <f t="shared" si="9"/>
        <v>93.0555555555556</v>
      </c>
      <c r="J109" s="23">
        <f t="shared" si="11"/>
        <v>69.4444444444444</v>
      </c>
      <c r="K109" s="61">
        <f t="shared" si="10"/>
        <v>51.3888888888889</v>
      </c>
      <c r="L109" s="63" t="s">
        <v>25</v>
      </c>
      <c r="M109" s="64" t="s">
        <v>21</v>
      </c>
      <c r="N109" s="90" t="s">
        <v>22</v>
      </c>
      <c r="O109" s="91" t="s">
        <v>23</v>
      </c>
    </row>
    <row r="110" spans="3:15" ht="30">
      <c r="C110" s="110"/>
      <c r="D110" s="83">
        <v>450</v>
      </c>
      <c r="E110" s="83">
        <v>120</v>
      </c>
      <c r="F110" s="76" t="s">
        <v>26</v>
      </c>
      <c r="G110" s="105"/>
      <c r="H110" s="23">
        <f t="shared" si="8"/>
        <v>145.833333333333</v>
      </c>
      <c r="I110" s="61">
        <f t="shared" si="9"/>
        <v>100</v>
      </c>
      <c r="J110" s="23">
        <f t="shared" si="11"/>
        <v>104.166666666667</v>
      </c>
      <c r="K110" s="61">
        <f t="shared" si="10"/>
        <v>58.3333333333333</v>
      </c>
      <c r="L110" s="63" t="s">
        <v>25</v>
      </c>
      <c r="M110" s="64" t="s">
        <v>21</v>
      </c>
      <c r="N110" s="90" t="s">
        <v>22</v>
      </c>
      <c r="O110" s="91" t="s">
        <v>23</v>
      </c>
    </row>
    <row r="111" spans="3:15" ht="30">
      <c r="C111" s="111"/>
      <c r="D111" s="83">
        <v>150</v>
      </c>
      <c r="E111" s="83">
        <v>50</v>
      </c>
      <c r="F111" s="79" t="s">
        <v>27</v>
      </c>
      <c r="G111" s="80" t="s">
        <v>28</v>
      </c>
      <c r="H111" s="44">
        <f t="shared" si="8"/>
        <v>104.166666666667</v>
      </c>
      <c r="I111" s="70">
        <f t="shared" si="9"/>
        <v>90.2777777777778</v>
      </c>
      <c r="J111" s="44">
        <f t="shared" si="11"/>
        <v>62.5</v>
      </c>
      <c r="K111" s="70">
        <f t="shared" si="10"/>
        <v>48.6111111111111</v>
      </c>
      <c r="L111" s="72" t="s">
        <v>29</v>
      </c>
      <c r="M111" s="62" t="s">
        <v>30</v>
      </c>
      <c r="N111" s="92" t="s">
        <v>31</v>
      </c>
      <c r="O111" s="93" t="s">
        <v>23</v>
      </c>
    </row>
    <row r="112" spans="3:15" ht="45">
      <c r="C112" s="109" t="s">
        <v>54</v>
      </c>
      <c r="D112" s="83">
        <v>550</v>
      </c>
      <c r="E112" s="83">
        <v>120</v>
      </c>
      <c r="F112" s="18" t="s">
        <v>18</v>
      </c>
      <c r="G112" s="104" t="s">
        <v>19</v>
      </c>
      <c r="H112" s="19">
        <f t="shared" si="8"/>
        <v>159.722222222222</v>
      </c>
      <c r="I112" s="58">
        <f t="shared" si="9"/>
        <v>100</v>
      </c>
      <c r="J112" s="19">
        <f t="shared" si="11"/>
        <v>118.055555555556</v>
      </c>
      <c r="K112" s="58">
        <f t="shared" si="10"/>
        <v>58.3333333333333</v>
      </c>
      <c r="L112" s="60" t="s">
        <v>20</v>
      </c>
      <c r="M112" s="65" t="s">
        <v>21</v>
      </c>
      <c r="N112" s="88" t="s">
        <v>22</v>
      </c>
      <c r="O112" s="89" t="s">
        <v>23</v>
      </c>
    </row>
    <row r="113" spans="3:15" ht="30">
      <c r="C113" s="110"/>
      <c r="D113" s="83">
        <v>150</v>
      </c>
      <c r="E113" s="83">
        <v>50</v>
      </c>
      <c r="F113" s="22" t="s">
        <v>24</v>
      </c>
      <c r="G113" s="105"/>
      <c r="H113" s="23">
        <f t="shared" si="8"/>
        <v>104.166666666667</v>
      </c>
      <c r="I113" s="61">
        <f t="shared" si="9"/>
        <v>90.2777777777778</v>
      </c>
      <c r="J113" s="23">
        <f t="shared" si="11"/>
        <v>62.5</v>
      </c>
      <c r="K113" s="61">
        <f t="shared" si="10"/>
        <v>48.6111111111111</v>
      </c>
      <c r="L113" s="63" t="s">
        <v>25</v>
      </c>
      <c r="M113" s="64" t="s">
        <v>21</v>
      </c>
      <c r="N113" s="90" t="s">
        <v>22</v>
      </c>
      <c r="O113" s="91" t="s">
        <v>23</v>
      </c>
    </row>
    <row r="114" spans="3:15" ht="30">
      <c r="C114" s="110"/>
      <c r="D114" s="83">
        <v>450</v>
      </c>
      <c r="E114" s="83">
        <v>120</v>
      </c>
      <c r="F114" s="76" t="s">
        <v>26</v>
      </c>
      <c r="G114" s="105"/>
      <c r="H114" s="23">
        <f t="shared" si="8"/>
        <v>145.833333333333</v>
      </c>
      <c r="I114" s="61">
        <f t="shared" si="9"/>
        <v>100</v>
      </c>
      <c r="J114" s="23">
        <f t="shared" si="11"/>
        <v>104.166666666667</v>
      </c>
      <c r="K114" s="61">
        <f t="shared" si="10"/>
        <v>58.3333333333333</v>
      </c>
      <c r="L114" s="63" t="s">
        <v>25</v>
      </c>
      <c r="M114" s="64" t="s">
        <v>21</v>
      </c>
      <c r="N114" s="90" t="s">
        <v>22</v>
      </c>
      <c r="O114" s="91" t="s">
        <v>23</v>
      </c>
    </row>
    <row r="115" spans="3:15" ht="30">
      <c r="C115" s="111"/>
      <c r="D115" s="83">
        <v>200</v>
      </c>
      <c r="E115" s="83">
        <v>70</v>
      </c>
      <c r="F115" s="79" t="s">
        <v>27</v>
      </c>
      <c r="G115" s="80" t="s">
        <v>28</v>
      </c>
      <c r="H115" s="44">
        <f t="shared" si="8"/>
        <v>111.111111111111</v>
      </c>
      <c r="I115" s="70">
        <f t="shared" si="9"/>
        <v>93.0555555555556</v>
      </c>
      <c r="J115" s="44">
        <f t="shared" si="11"/>
        <v>69.4444444444444</v>
      </c>
      <c r="K115" s="70">
        <f t="shared" si="10"/>
        <v>51.3888888888889</v>
      </c>
      <c r="L115" s="72" t="s">
        <v>29</v>
      </c>
      <c r="M115" s="62" t="s">
        <v>30</v>
      </c>
      <c r="N115" s="92" t="s">
        <v>31</v>
      </c>
      <c r="O115" s="93" t="s">
        <v>23</v>
      </c>
    </row>
  </sheetData>
  <mergeCells count="55">
    <mergeCell ref="C14:M14"/>
    <mergeCell ref="H17:I17"/>
    <mergeCell ref="J17:K17"/>
    <mergeCell ref="H18:I18"/>
    <mergeCell ref="J18:K18"/>
    <mergeCell ref="C20:C23"/>
    <mergeCell ref="C24:C27"/>
    <mergeCell ref="C28:C31"/>
    <mergeCell ref="C32:C35"/>
    <mergeCell ref="C36:C39"/>
    <mergeCell ref="C40:C43"/>
    <mergeCell ref="C44:C47"/>
    <mergeCell ref="C48:C51"/>
    <mergeCell ref="C52:C55"/>
    <mergeCell ref="C56:C59"/>
    <mergeCell ref="C60:C63"/>
    <mergeCell ref="C64:C67"/>
    <mergeCell ref="C68:C71"/>
    <mergeCell ref="C72:C75"/>
    <mergeCell ref="C76:C79"/>
    <mergeCell ref="C80:C83"/>
    <mergeCell ref="C84:C87"/>
    <mergeCell ref="C88:C91"/>
    <mergeCell ref="C92:C95"/>
    <mergeCell ref="C96:C99"/>
    <mergeCell ref="C100:C103"/>
    <mergeCell ref="C104:C107"/>
    <mergeCell ref="C108:C111"/>
    <mergeCell ref="C112:C115"/>
    <mergeCell ref="G20:G22"/>
    <mergeCell ref="G24:G26"/>
    <mergeCell ref="G28:G30"/>
    <mergeCell ref="G32:G34"/>
    <mergeCell ref="G36:G38"/>
    <mergeCell ref="G40:G42"/>
    <mergeCell ref="G44:G46"/>
    <mergeCell ref="G48:G50"/>
    <mergeCell ref="G52:G54"/>
    <mergeCell ref="G56:G58"/>
    <mergeCell ref="G60:G62"/>
    <mergeCell ref="G64:G66"/>
    <mergeCell ref="G108:G110"/>
    <mergeCell ref="G112:G114"/>
    <mergeCell ref="N18:N19"/>
    <mergeCell ref="O18:O19"/>
    <mergeCell ref="G88:G90"/>
    <mergeCell ref="G92:G94"/>
    <mergeCell ref="G96:G98"/>
    <mergeCell ref="G100:G102"/>
    <mergeCell ref="G104:G106"/>
    <mergeCell ref="G68:G70"/>
    <mergeCell ref="G72:G74"/>
    <mergeCell ref="G76:G78"/>
    <mergeCell ref="G80:G82"/>
    <mergeCell ref="G84:G86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63"/>
  <sheetViews>
    <sheetView tabSelected="1" topLeftCell="A13" workbookViewId="0">
      <selection activeCell="E20" sqref="E20"/>
    </sheetView>
  </sheetViews>
  <sheetFormatPr baseColWidth="10" defaultColWidth="8.83203125" defaultRowHeight="15"/>
  <cols>
    <col min="3" max="3" width="40.6640625" bestFit="1" customWidth="1"/>
    <col min="4" max="5" width="5.83203125" bestFit="1" customWidth="1"/>
    <col min="6" max="7" width="16.5" customWidth="1"/>
    <col min="8" max="11" width="12.83203125" customWidth="1"/>
    <col min="12" max="12" width="21.5" customWidth="1"/>
    <col min="13" max="13" width="16.5" customWidth="1"/>
  </cols>
  <sheetData>
    <row r="2" spans="3:13" ht="335">
      <c r="C2" s="103" t="s">
        <v>59</v>
      </c>
    </row>
    <row r="14" spans="3:13" ht="87" customHeight="1">
      <c r="C14" s="113" t="s">
        <v>55</v>
      </c>
      <c r="D14" s="114"/>
      <c r="E14" s="114"/>
      <c r="F14" s="114"/>
      <c r="G14" s="114"/>
      <c r="H14" s="114"/>
      <c r="I14" s="114"/>
      <c r="J14" s="114"/>
      <c r="K14" s="114"/>
      <c r="L14" s="114"/>
      <c r="M14" s="115"/>
    </row>
    <row r="15" spans="3:13" ht="32">
      <c r="C15" s="1"/>
      <c r="H15" s="2" t="s">
        <v>1</v>
      </c>
      <c r="I15" s="45" t="s">
        <v>2</v>
      </c>
      <c r="J15" s="46"/>
      <c r="K15" s="46"/>
      <c r="M15" s="47"/>
    </row>
    <row r="16" spans="3:13">
      <c r="C16" s="1"/>
      <c r="D16" s="3"/>
      <c r="E16" s="3"/>
      <c r="F16" s="3"/>
      <c r="G16" s="4"/>
      <c r="H16" s="5">
        <v>0.5</v>
      </c>
      <c r="I16" s="48">
        <v>0.8</v>
      </c>
      <c r="J16" s="49">
        <v>7.2</v>
      </c>
      <c r="K16" s="50"/>
      <c r="L16" s="4"/>
      <c r="M16" s="51"/>
    </row>
    <row r="17" spans="3:13" ht="16">
      <c r="C17" s="6"/>
      <c r="D17" s="3"/>
      <c r="E17" s="3"/>
      <c r="F17" s="7"/>
      <c r="G17" s="4"/>
      <c r="H17" s="116" t="s">
        <v>3</v>
      </c>
      <c r="I17" s="117"/>
      <c r="J17" s="118" t="s">
        <v>4</v>
      </c>
      <c r="K17" s="119"/>
      <c r="L17" s="52"/>
      <c r="M17" s="53"/>
    </row>
    <row r="18" spans="3:13" ht="28" customHeight="1">
      <c r="C18" s="8"/>
      <c r="D18" s="9">
        <v>450</v>
      </c>
      <c r="E18" s="9">
        <v>250</v>
      </c>
      <c r="F18" s="10"/>
      <c r="G18" s="10"/>
      <c r="H18" s="120" t="s">
        <v>5</v>
      </c>
      <c r="I18" s="121"/>
      <c r="J18" s="120" t="s">
        <v>5</v>
      </c>
      <c r="K18" s="121"/>
      <c r="L18" s="54"/>
      <c r="M18" s="55"/>
    </row>
    <row r="19" spans="3:13" ht="30">
      <c r="C19" s="11" t="s">
        <v>8</v>
      </c>
      <c r="D19" s="12" t="s">
        <v>9</v>
      </c>
      <c r="E19" s="13" t="s">
        <v>10</v>
      </c>
      <c r="F19" s="9" t="s">
        <v>11</v>
      </c>
      <c r="G19" s="14" t="s">
        <v>12</v>
      </c>
      <c r="H19" s="15" t="s">
        <v>13</v>
      </c>
      <c r="I19" s="56" t="s">
        <v>14</v>
      </c>
      <c r="J19" s="15" t="s">
        <v>13</v>
      </c>
      <c r="K19" s="56" t="s">
        <v>14</v>
      </c>
      <c r="L19" s="57" t="s">
        <v>15</v>
      </c>
      <c r="M19" s="57" t="s">
        <v>16</v>
      </c>
    </row>
    <row r="20" spans="3:13" ht="30">
      <c r="C20" s="109" t="s">
        <v>17</v>
      </c>
      <c r="D20" s="16">
        <v>1050</v>
      </c>
      <c r="E20" s="17">
        <v>260</v>
      </c>
      <c r="F20" s="18" t="s">
        <v>22</v>
      </c>
      <c r="G20" s="104" t="s">
        <v>56</v>
      </c>
      <c r="H20" s="19">
        <f>(H$16*D20+D$18)/J$16</f>
        <v>135.416666666667</v>
      </c>
      <c r="I20" s="58">
        <f t="shared" ref="I20:I63" si="0">(I$16*E20+D$18)/J$16</f>
        <v>91.3888888888889</v>
      </c>
      <c r="J20" s="19">
        <f t="shared" ref="J20:J63" si="1">(H$16*D20+E$18)/J$16</f>
        <v>107.638888888889</v>
      </c>
      <c r="K20" s="58">
        <f t="shared" ref="K20:K63" si="2">(I$16*E20+E$18)/J$16</f>
        <v>63.6111111111111</v>
      </c>
      <c r="L20" s="59" t="s">
        <v>57</v>
      </c>
      <c r="M20" s="60" t="s">
        <v>21</v>
      </c>
    </row>
    <row r="21" spans="3:13" ht="30">
      <c r="C21" s="110"/>
      <c r="D21" s="20">
        <v>1200</v>
      </c>
      <c r="E21" s="21">
        <v>290</v>
      </c>
      <c r="F21" s="22" t="s">
        <v>31</v>
      </c>
      <c r="G21" s="105"/>
      <c r="H21" s="23">
        <f t="shared" ref="H21:H63" si="3">(H$16*D21+D$18)/J$16</f>
        <v>145.833333333333</v>
      </c>
      <c r="I21" s="61">
        <f t="shared" si="0"/>
        <v>94.7222222222222</v>
      </c>
      <c r="J21" s="23">
        <f t="shared" si="1"/>
        <v>118.055555555556</v>
      </c>
      <c r="K21" s="61">
        <f t="shared" si="2"/>
        <v>66.9444444444444</v>
      </c>
      <c r="L21" s="62" t="s">
        <v>58</v>
      </c>
      <c r="M21" s="63" t="s">
        <v>21</v>
      </c>
    </row>
    <row r="22" spans="3:13" ht="30">
      <c r="C22" s="109" t="s">
        <v>32</v>
      </c>
      <c r="D22" s="24">
        <v>1300</v>
      </c>
      <c r="E22" s="25">
        <v>300</v>
      </c>
      <c r="F22" s="18" t="s">
        <v>22</v>
      </c>
      <c r="G22" s="104" t="s">
        <v>56</v>
      </c>
      <c r="H22" s="19">
        <f t="shared" si="3"/>
        <v>152.777777777778</v>
      </c>
      <c r="I22" s="58">
        <f t="shared" si="0"/>
        <v>95.8333333333333</v>
      </c>
      <c r="J22" s="19">
        <f t="shared" si="1"/>
        <v>125</v>
      </c>
      <c r="K22" s="58">
        <f t="shared" si="2"/>
        <v>68.0555555555556</v>
      </c>
      <c r="L22" s="59" t="s">
        <v>57</v>
      </c>
      <c r="M22" s="59" t="s">
        <v>21</v>
      </c>
    </row>
    <row r="23" spans="3:13" ht="30">
      <c r="C23" s="110"/>
      <c r="D23" s="24">
        <v>1300</v>
      </c>
      <c r="E23" s="25">
        <v>300</v>
      </c>
      <c r="F23" s="22" t="s">
        <v>31</v>
      </c>
      <c r="G23" s="105"/>
      <c r="H23" s="23">
        <f t="shared" si="3"/>
        <v>152.777777777778</v>
      </c>
      <c r="I23" s="61">
        <f t="shared" si="0"/>
        <v>95.8333333333333</v>
      </c>
      <c r="J23" s="23">
        <f t="shared" si="1"/>
        <v>125</v>
      </c>
      <c r="K23" s="61">
        <f t="shared" si="2"/>
        <v>68.0555555555556</v>
      </c>
      <c r="L23" s="62" t="s">
        <v>58</v>
      </c>
      <c r="M23" s="64" t="s">
        <v>21</v>
      </c>
    </row>
    <row r="24" spans="3:13" ht="30">
      <c r="C24" s="109" t="s">
        <v>33</v>
      </c>
      <c r="D24" s="24">
        <v>1200</v>
      </c>
      <c r="E24" s="25">
        <v>240</v>
      </c>
      <c r="F24" s="18" t="s">
        <v>22</v>
      </c>
      <c r="G24" s="104" t="s">
        <v>56</v>
      </c>
      <c r="H24" s="19">
        <f>(H$16*D24+D$18)/J$16</f>
        <v>145.833333333333</v>
      </c>
      <c r="I24" s="58">
        <f t="shared" si="0"/>
        <v>89.1666666666667</v>
      </c>
      <c r="J24" s="19">
        <f t="shared" si="1"/>
        <v>118.055555555556</v>
      </c>
      <c r="K24" s="58">
        <f t="shared" si="2"/>
        <v>61.3888888888889</v>
      </c>
      <c r="L24" s="59" t="s">
        <v>57</v>
      </c>
      <c r="M24" s="59" t="s">
        <v>21</v>
      </c>
    </row>
    <row r="25" spans="3:13" ht="30">
      <c r="C25" s="110"/>
      <c r="D25" s="20">
        <v>750</v>
      </c>
      <c r="E25" s="21">
        <v>200</v>
      </c>
      <c r="F25" s="22" t="s">
        <v>31</v>
      </c>
      <c r="G25" s="105"/>
      <c r="H25" s="23">
        <f t="shared" si="3"/>
        <v>114.583333333333</v>
      </c>
      <c r="I25" s="61">
        <f t="shared" si="0"/>
        <v>84.7222222222222</v>
      </c>
      <c r="J25" s="23">
        <f t="shared" si="1"/>
        <v>86.8055555555556</v>
      </c>
      <c r="K25" s="61">
        <f t="shared" si="2"/>
        <v>56.9444444444444</v>
      </c>
      <c r="L25" s="62" t="s">
        <v>58</v>
      </c>
      <c r="M25" s="64" t="s">
        <v>21</v>
      </c>
    </row>
    <row r="26" spans="3:13" ht="30">
      <c r="C26" s="109" t="s">
        <v>34</v>
      </c>
      <c r="D26" s="24">
        <v>1200</v>
      </c>
      <c r="E26" s="25">
        <v>240</v>
      </c>
      <c r="F26" s="18" t="s">
        <v>22</v>
      </c>
      <c r="G26" s="104" t="s">
        <v>56</v>
      </c>
      <c r="H26" s="19">
        <f t="shared" si="3"/>
        <v>145.833333333333</v>
      </c>
      <c r="I26" s="58">
        <f t="shared" si="0"/>
        <v>89.1666666666667</v>
      </c>
      <c r="J26" s="19">
        <f t="shared" si="1"/>
        <v>118.055555555556</v>
      </c>
      <c r="K26" s="58">
        <f t="shared" si="2"/>
        <v>61.3888888888889</v>
      </c>
      <c r="L26" s="59" t="s">
        <v>57</v>
      </c>
      <c r="M26" s="59" t="s">
        <v>21</v>
      </c>
    </row>
    <row r="27" spans="3:13" ht="30">
      <c r="C27" s="110"/>
      <c r="D27" s="20">
        <v>750</v>
      </c>
      <c r="E27" s="21">
        <v>200</v>
      </c>
      <c r="F27" s="22" t="s">
        <v>31</v>
      </c>
      <c r="G27" s="105"/>
      <c r="H27" s="23">
        <f t="shared" si="3"/>
        <v>114.583333333333</v>
      </c>
      <c r="I27" s="61">
        <f t="shared" si="0"/>
        <v>84.7222222222222</v>
      </c>
      <c r="J27" s="23">
        <f t="shared" si="1"/>
        <v>86.8055555555556</v>
      </c>
      <c r="K27" s="61">
        <f t="shared" si="2"/>
        <v>56.9444444444444</v>
      </c>
      <c r="L27" s="62" t="s">
        <v>58</v>
      </c>
      <c r="M27" s="64" t="s">
        <v>21</v>
      </c>
    </row>
    <row r="28" spans="3:13" ht="30">
      <c r="C28" s="109" t="s">
        <v>35</v>
      </c>
      <c r="D28" s="24">
        <v>1200</v>
      </c>
      <c r="E28" s="25">
        <v>280</v>
      </c>
      <c r="F28" s="18" t="s">
        <v>22</v>
      </c>
      <c r="G28" s="104" t="s">
        <v>56</v>
      </c>
      <c r="H28" s="19">
        <f t="shared" si="3"/>
        <v>145.833333333333</v>
      </c>
      <c r="I28" s="58">
        <f t="shared" si="0"/>
        <v>93.6111111111111</v>
      </c>
      <c r="J28" s="19">
        <f t="shared" si="1"/>
        <v>118.055555555556</v>
      </c>
      <c r="K28" s="58">
        <f t="shared" si="2"/>
        <v>65.8333333333333</v>
      </c>
      <c r="L28" s="59" t="s">
        <v>57</v>
      </c>
      <c r="M28" s="59" t="s">
        <v>21</v>
      </c>
    </row>
    <row r="29" spans="3:13" ht="30">
      <c r="C29" s="110"/>
      <c r="D29" s="24">
        <v>1200</v>
      </c>
      <c r="E29" s="25">
        <v>280</v>
      </c>
      <c r="F29" s="22" t="s">
        <v>31</v>
      </c>
      <c r="G29" s="105"/>
      <c r="H29" s="23">
        <f t="shared" si="3"/>
        <v>145.833333333333</v>
      </c>
      <c r="I29" s="61">
        <f t="shared" si="0"/>
        <v>93.6111111111111</v>
      </c>
      <c r="J29" s="23">
        <f t="shared" si="1"/>
        <v>118.055555555556</v>
      </c>
      <c r="K29" s="61">
        <f t="shared" si="2"/>
        <v>65.8333333333333</v>
      </c>
      <c r="L29" s="62" t="s">
        <v>58</v>
      </c>
      <c r="M29" s="64" t="s">
        <v>21</v>
      </c>
    </row>
    <row r="30" spans="3:13" ht="30">
      <c r="C30" s="109" t="s">
        <v>36</v>
      </c>
      <c r="D30" s="24">
        <v>1200</v>
      </c>
      <c r="E30" s="25">
        <v>240</v>
      </c>
      <c r="F30" s="18" t="s">
        <v>22</v>
      </c>
      <c r="G30" s="104" t="s">
        <v>56</v>
      </c>
      <c r="H30" s="19">
        <f t="shared" si="3"/>
        <v>145.833333333333</v>
      </c>
      <c r="I30" s="58">
        <f t="shared" si="0"/>
        <v>89.1666666666667</v>
      </c>
      <c r="J30" s="19">
        <f t="shared" si="1"/>
        <v>118.055555555556</v>
      </c>
      <c r="K30" s="58">
        <f t="shared" si="2"/>
        <v>61.3888888888889</v>
      </c>
      <c r="L30" s="59" t="s">
        <v>57</v>
      </c>
      <c r="M30" s="65" t="s">
        <v>21</v>
      </c>
    </row>
    <row r="31" spans="3:13" ht="30">
      <c r="C31" s="110"/>
      <c r="D31" s="20">
        <v>750</v>
      </c>
      <c r="E31" s="21">
        <v>200</v>
      </c>
      <c r="F31" s="22" t="s">
        <v>31</v>
      </c>
      <c r="G31" s="105"/>
      <c r="H31" s="23">
        <f t="shared" si="3"/>
        <v>114.583333333333</v>
      </c>
      <c r="I31" s="61">
        <f t="shared" si="0"/>
        <v>84.7222222222222</v>
      </c>
      <c r="J31" s="23">
        <f t="shared" si="1"/>
        <v>86.8055555555556</v>
      </c>
      <c r="K31" s="61">
        <f t="shared" si="2"/>
        <v>56.9444444444444</v>
      </c>
      <c r="L31" s="62" t="s">
        <v>58</v>
      </c>
      <c r="M31" s="64" t="s">
        <v>21</v>
      </c>
    </row>
    <row r="32" spans="3:13" ht="30">
      <c r="C32" s="109" t="s">
        <v>37</v>
      </c>
      <c r="D32" s="24">
        <v>1200</v>
      </c>
      <c r="E32" s="25">
        <v>240</v>
      </c>
      <c r="F32" s="18" t="s">
        <v>22</v>
      </c>
      <c r="G32" s="104" t="s">
        <v>56</v>
      </c>
      <c r="H32" s="19">
        <f t="shared" si="3"/>
        <v>145.833333333333</v>
      </c>
      <c r="I32" s="58">
        <f t="shared" si="0"/>
        <v>89.1666666666667</v>
      </c>
      <c r="J32" s="19">
        <f t="shared" si="1"/>
        <v>118.055555555556</v>
      </c>
      <c r="K32" s="58">
        <f t="shared" si="2"/>
        <v>61.3888888888889</v>
      </c>
      <c r="L32" s="59" t="s">
        <v>57</v>
      </c>
      <c r="M32" s="65" t="s">
        <v>21</v>
      </c>
    </row>
    <row r="33" spans="3:13" ht="30">
      <c r="C33" s="110"/>
      <c r="D33" s="24">
        <v>1200</v>
      </c>
      <c r="E33" s="25">
        <v>260</v>
      </c>
      <c r="F33" s="22" t="s">
        <v>31</v>
      </c>
      <c r="G33" s="105"/>
      <c r="H33" s="23">
        <f t="shared" si="3"/>
        <v>145.833333333333</v>
      </c>
      <c r="I33" s="61">
        <f t="shared" si="0"/>
        <v>91.3888888888889</v>
      </c>
      <c r="J33" s="23">
        <f t="shared" si="1"/>
        <v>118.055555555556</v>
      </c>
      <c r="K33" s="61">
        <f t="shared" si="2"/>
        <v>63.6111111111111</v>
      </c>
      <c r="L33" s="62" t="s">
        <v>58</v>
      </c>
      <c r="M33" s="64" t="s">
        <v>21</v>
      </c>
    </row>
    <row r="34" spans="3:13" ht="30">
      <c r="C34" s="109" t="s">
        <v>38</v>
      </c>
      <c r="D34" s="24">
        <v>1200</v>
      </c>
      <c r="E34" s="25">
        <v>240</v>
      </c>
      <c r="F34" s="18" t="s">
        <v>22</v>
      </c>
      <c r="G34" s="104" t="s">
        <v>56</v>
      </c>
      <c r="H34" s="19">
        <f t="shared" si="3"/>
        <v>145.833333333333</v>
      </c>
      <c r="I34" s="58">
        <f t="shared" si="0"/>
        <v>89.1666666666667</v>
      </c>
      <c r="J34" s="19">
        <f t="shared" si="1"/>
        <v>118.055555555556</v>
      </c>
      <c r="K34" s="58">
        <f t="shared" si="2"/>
        <v>61.3888888888889</v>
      </c>
      <c r="L34" s="59" t="s">
        <v>57</v>
      </c>
      <c r="M34" s="65" t="s">
        <v>21</v>
      </c>
    </row>
    <row r="35" spans="3:13" ht="30">
      <c r="C35" s="110"/>
      <c r="D35" s="26">
        <v>1200</v>
      </c>
      <c r="E35" s="27">
        <v>260</v>
      </c>
      <c r="F35" s="22" t="s">
        <v>31</v>
      </c>
      <c r="G35" s="105"/>
      <c r="H35" s="23">
        <f t="shared" si="3"/>
        <v>145.833333333333</v>
      </c>
      <c r="I35" s="61">
        <f t="shared" si="0"/>
        <v>91.3888888888889</v>
      </c>
      <c r="J35" s="23">
        <f t="shared" si="1"/>
        <v>118.055555555556</v>
      </c>
      <c r="K35" s="61">
        <f t="shared" si="2"/>
        <v>63.6111111111111</v>
      </c>
      <c r="L35" s="62" t="s">
        <v>58</v>
      </c>
      <c r="M35" s="64" t="s">
        <v>21</v>
      </c>
    </row>
    <row r="36" spans="3:13" ht="30">
      <c r="C36" s="109" t="s">
        <v>39</v>
      </c>
      <c r="D36" s="28">
        <v>1300</v>
      </c>
      <c r="E36" s="29">
        <v>300</v>
      </c>
      <c r="F36" s="18" t="s">
        <v>22</v>
      </c>
      <c r="G36" s="104" t="s">
        <v>56</v>
      </c>
      <c r="H36" s="19">
        <f t="shared" si="3"/>
        <v>152.777777777778</v>
      </c>
      <c r="I36" s="58">
        <f t="shared" si="0"/>
        <v>95.8333333333333</v>
      </c>
      <c r="J36" s="19">
        <f t="shared" si="1"/>
        <v>125</v>
      </c>
      <c r="K36" s="58">
        <f t="shared" si="2"/>
        <v>68.0555555555556</v>
      </c>
      <c r="L36" s="59" t="s">
        <v>57</v>
      </c>
      <c r="M36" s="65" t="s">
        <v>21</v>
      </c>
    </row>
    <row r="37" spans="3:13" ht="30">
      <c r="C37" s="110"/>
      <c r="D37" s="30">
        <v>1000</v>
      </c>
      <c r="E37" s="31">
        <v>260</v>
      </c>
      <c r="F37" s="22" t="s">
        <v>31</v>
      </c>
      <c r="G37" s="105"/>
      <c r="H37" s="23">
        <f t="shared" si="3"/>
        <v>131.944444444444</v>
      </c>
      <c r="I37" s="61">
        <f t="shared" si="0"/>
        <v>91.3888888888889</v>
      </c>
      <c r="J37" s="23">
        <f t="shared" si="1"/>
        <v>104.166666666667</v>
      </c>
      <c r="K37" s="61">
        <f t="shared" si="2"/>
        <v>63.6111111111111</v>
      </c>
      <c r="L37" s="62" t="s">
        <v>58</v>
      </c>
      <c r="M37" s="64" t="s">
        <v>21</v>
      </c>
    </row>
    <row r="38" spans="3:13" ht="30">
      <c r="C38" s="109" t="s">
        <v>40</v>
      </c>
      <c r="D38" s="28">
        <v>900</v>
      </c>
      <c r="E38" s="29">
        <v>230</v>
      </c>
      <c r="F38" s="18" t="s">
        <v>22</v>
      </c>
      <c r="G38" s="104" t="s">
        <v>56</v>
      </c>
      <c r="H38" s="19">
        <f t="shared" si="3"/>
        <v>125</v>
      </c>
      <c r="I38" s="58">
        <f t="shared" si="0"/>
        <v>88.0555555555556</v>
      </c>
      <c r="J38" s="19">
        <f t="shared" si="1"/>
        <v>97.2222222222222</v>
      </c>
      <c r="K38" s="58">
        <f t="shared" si="2"/>
        <v>60.2777777777778</v>
      </c>
      <c r="L38" s="59" t="s">
        <v>57</v>
      </c>
      <c r="M38" s="65" t="s">
        <v>21</v>
      </c>
    </row>
    <row r="39" spans="3:13" ht="30">
      <c r="C39" s="110"/>
      <c r="D39" s="30">
        <v>700</v>
      </c>
      <c r="E39" s="31">
        <v>200</v>
      </c>
      <c r="F39" s="22" t="s">
        <v>31</v>
      </c>
      <c r="G39" s="105"/>
      <c r="H39" s="23">
        <f t="shared" si="3"/>
        <v>111.111111111111</v>
      </c>
      <c r="I39" s="61">
        <f t="shared" si="0"/>
        <v>84.7222222222222</v>
      </c>
      <c r="J39" s="23">
        <f t="shared" si="1"/>
        <v>83.3333333333333</v>
      </c>
      <c r="K39" s="61">
        <f t="shared" si="2"/>
        <v>56.9444444444444</v>
      </c>
      <c r="L39" s="62" t="s">
        <v>58</v>
      </c>
      <c r="M39" s="64" t="s">
        <v>21</v>
      </c>
    </row>
    <row r="40" spans="3:13" ht="30">
      <c r="C40" s="109" t="s">
        <v>41</v>
      </c>
      <c r="D40" s="24">
        <v>1200</v>
      </c>
      <c r="E40" s="25">
        <v>240</v>
      </c>
      <c r="F40" s="18" t="s">
        <v>22</v>
      </c>
      <c r="G40" s="104" t="s">
        <v>56</v>
      </c>
      <c r="H40" s="19">
        <f t="shared" si="3"/>
        <v>145.833333333333</v>
      </c>
      <c r="I40" s="58">
        <f t="shared" si="0"/>
        <v>89.1666666666667</v>
      </c>
      <c r="J40" s="66">
        <f t="shared" si="1"/>
        <v>118.055555555556</v>
      </c>
      <c r="K40" s="58">
        <f t="shared" si="2"/>
        <v>61.3888888888889</v>
      </c>
      <c r="L40" s="59" t="s">
        <v>57</v>
      </c>
      <c r="M40" s="65" t="s">
        <v>21</v>
      </c>
    </row>
    <row r="41" spans="3:13" ht="30">
      <c r="C41" s="110"/>
      <c r="D41" s="32">
        <v>750</v>
      </c>
      <c r="E41" s="33">
        <v>200</v>
      </c>
      <c r="F41" s="22" t="s">
        <v>31</v>
      </c>
      <c r="G41" s="105"/>
      <c r="H41" s="23">
        <f t="shared" si="3"/>
        <v>114.583333333333</v>
      </c>
      <c r="I41" s="61">
        <f t="shared" si="0"/>
        <v>84.7222222222222</v>
      </c>
      <c r="J41" s="67">
        <f t="shared" si="1"/>
        <v>86.8055555555556</v>
      </c>
      <c r="K41" s="61">
        <f t="shared" si="2"/>
        <v>56.9444444444444</v>
      </c>
      <c r="L41" s="62" t="s">
        <v>58</v>
      </c>
      <c r="M41" s="64" t="s">
        <v>21</v>
      </c>
    </row>
    <row r="42" spans="3:13" ht="30">
      <c r="C42" s="109" t="s">
        <v>42</v>
      </c>
      <c r="D42" s="28">
        <v>1100</v>
      </c>
      <c r="E42" s="29">
        <v>260</v>
      </c>
      <c r="F42" s="18" t="s">
        <v>22</v>
      </c>
      <c r="G42" s="104" t="s">
        <v>56</v>
      </c>
      <c r="H42" s="19">
        <f t="shared" si="3"/>
        <v>138.888888888889</v>
      </c>
      <c r="I42" s="58">
        <f t="shared" si="0"/>
        <v>91.3888888888889</v>
      </c>
      <c r="J42" s="19">
        <f t="shared" si="1"/>
        <v>111.111111111111</v>
      </c>
      <c r="K42" s="58">
        <f t="shared" si="2"/>
        <v>63.6111111111111</v>
      </c>
      <c r="L42" s="59" t="s">
        <v>57</v>
      </c>
      <c r="M42" s="65" t="s">
        <v>21</v>
      </c>
    </row>
    <row r="43" spans="3:13" ht="30">
      <c r="C43" s="110"/>
      <c r="D43" s="30">
        <v>550</v>
      </c>
      <c r="E43" s="31">
        <v>180</v>
      </c>
      <c r="F43" s="22" t="s">
        <v>31</v>
      </c>
      <c r="G43" s="105"/>
      <c r="H43" s="23">
        <f t="shared" si="3"/>
        <v>100.694444444444</v>
      </c>
      <c r="I43" s="61">
        <f t="shared" si="0"/>
        <v>82.5</v>
      </c>
      <c r="J43" s="23">
        <f t="shared" si="1"/>
        <v>72.9166666666667</v>
      </c>
      <c r="K43" s="61">
        <f t="shared" si="2"/>
        <v>54.7222222222222</v>
      </c>
      <c r="L43" s="62" t="s">
        <v>58</v>
      </c>
      <c r="M43" s="64" t="s">
        <v>21</v>
      </c>
    </row>
    <row r="44" spans="3:13" ht="30">
      <c r="C44" s="109" t="s">
        <v>43</v>
      </c>
      <c r="D44" s="28">
        <v>1100</v>
      </c>
      <c r="E44" s="29">
        <v>260</v>
      </c>
      <c r="F44" s="18" t="s">
        <v>22</v>
      </c>
      <c r="G44" s="104" t="s">
        <v>56</v>
      </c>
      <c r="H44" s="19">
        <f t="shared" si="3"/>
        <v>138.888888888889</v>
      </c>
      <c r="I44" s="58">
        <f t="shared" si="0"/>
        <v>91.3888888888889</v>
      </c>
      <c r="J44" s="19">
        <f t="shared" si="1"/>
        <v>111.111111111111</v>
      </c>
      <c r="K44" s="58">
        <f t="shared" si="2"/>
        <v>63.6111111111111</v>
      </c>
      <c r="L44" s="59" t="s">
        <v>57</v>
      </c>
      <c r="M44" s="65" t="s">
        <v>21</v>
      </c>
    </row>
    <row r="45" spans="3:13" ht="30">
      <c r="C45" s="110"/>
      <c r="D45" s="30">
        <v>550</v>
      </c>
      <c r="E45" s="31">
        <v>180</v>
      </c>
      <c r="F45" s="22" t="s">
        <v>31</v>
      </c>
      <c r="G45" s="105"/>
      <c r="H45" s="23">
        <f t="shared" si="3"/>
        <v>100.694444444444</v>
      </c>
      <c r="I45" s="61">
        <f t="shared" si="0"/>
        <v>82.5</v>
      </c>
      <c r="J45" s="23">
        <f t="shared" si="1"/>
        <v>72.9166666666667</v>
      </c>
      <c r="K45" s="61">
        <f t="shared" si="2"/>
        <v>54.7222222222222</v>
      </c>
      <c r="L45" s="62" t="s">
        <v>58</v>
      </c>
      <c r="M45" s="68" t="s">
        <v>21</v>
      </c>
    </row>
    <row r="46" spans="3:13" ht="30">
      <c r="C46" s="109" t="s">
        <v>44</v>
      </c>
      <c r="D46" s="28">
        <v>850</v>
      </c>
      <c r="E46" s="29">
        <v>180</v>
      </c>
      <c r="F46" s="18" t="s">
        <v>22</v>
      </c>
      <c r="G46" s="104" t="s">
        <v>56</v>
      </c>
      <c r="H46" s="19">
        <f t="shared" si="3"/>
        <v>121.527777777778</v>
      </c>
      <c r="I46" s="58">
        <f t="shared" si="0"/>
        <v>82.5</v>
      </c>
      <c r="J46" s="19">
        <f t="shared" si="1"/>
        <v>93.75</v>
      </c>
      <c r="K46" s="58">
        <f t="shared" si="2"/>
        <v>54.7222222222222</v>
      </c>
      <c r="L46" s="59" t="s">
        <v>57</v>
      </c>
      <c r="M46" s="59" t="s">
        <v>21</v>
      </c>
    </row>
    <row r="47" spans="3:13" ht="30">
      <c r="C47" s="110"/>
      <c r="D47" s="30">
        <v>480</v>
      </c>
      <c r="E47" s="31">
        <v>140</v>
      </c>
      <c r="F47" s="22" t="s">
        <v>31</v>
      </c>
      <c r="G47" s="105"/>
      <c r="H47" s="23">
        <f t="shared" si="3"/>
        <v>95.8333333333333</v>
      </c>
      <c r="I47" s="61">
        <f t="shared" si="0"/>
        <v>78.0555555555556</v>
      </c>
      <c r="J47" s="41">
        <f t="shared" si="1"/>
        <v>68.0555555555556</v>
      </c>
      <c r="K47" s="69">
        <f t="shared" si="2"/>
        <v>50.2777777777778</v>
      </c>
      <c r="L47" s="62" t="s">
        <v>58</v>
      </c>
      <c r="M47" s="62" t="s">
        <v>21</v>
      </c>
    </row>
    <row r="48" spans="3:13" ht="30">
      <c r="C48" s="109" t="s">
        <v>45</v>
      </c>
      <c r="D48" s="28">
        <v>900</v>
      </c>
      <c r="E48" s="29">
        <v>250</v>
      </c>
      <c r="F48" s="18" t="s">
        <v>22</v>
      </c>
      <c r="G48" s="104" t="s">
        <v>56</v>
      </c>
      <c r="H48" s="19">
        <f t="shared" si="3"/>
        <v>125</v>
      </c>
      <c r="I48" s="58">
        <f t="shared" si="0"/>
        <v>90.2777777777778</v>
      </c>
      <c r="J48" s="19">
        <f t="shared" si="1"/>
        <v>97.2222222222222</v>
      </c>
      <c r="K48" s="58">
        <f t="shared" si="2"/>
        <v>62.5</v>
      </c>
      <c r="L48" s="59" t="s">
        <v>57</v>
      </c>
      <c r="M48" s="59" t="s">
        <v>21</v>
      </c>
    </row>
    <row r="49" spans="3:13" ht="30">
      <c r="C49" s="110"/>
      <c r="D49" s="30">
        <v>1000</v>
      </c>
      <c r="E49" s="31">
        <v>280</v>
      </c>
      <c r="F49" s="22" t="s">
        <v>31</v>
      </c>
      <c r="G49" s="105"/>
      <c r="H49" s="23">
        <f t="shared" si="3"/>
        <v>131.944444444444</v>
      </c>
      <c r="I49" s="61">
        <f t="shared" si="0"/>
        <v>93.6111111111111</v>
      </c>
      <c r="J49" s="44">
        <f t="shared" si="1"/>
        <v>104.166666666667</v>
      </c>
      <c r="K49" s="70">
        <f t="shared" si="2"/>
        <v>65.8333333333333</v>
      </c>
      <c r="L49" s="62" t="s">
        <v>58</v>
      </c>
      <c r="M49" s="62" t="s">
        <v>21</v>
      </c>
    </row>
    <row r="50" spans="3:13" ht="30">
      <c r="C50" s="109" t="s">
        <v>46</v>
      </c>
      <c r="D50" s="28">
        <v>1000</v>
      </c>
      <c r="E50" s="29">
        <v>240</v>
      </c>
      <c r="F50" s="18" t="s">
        <v>22</v>
      </c>
      <c r="G50" s="104" t="s">
        <v>56</v>
      </c>
      <c r="H50" s="19">
        <f t="shared" si="3"/>
        <v>131.944444444444</v>
      </c>
      <c r="I50" s="58">
        <f t="shared" si="0"/>
        <v>89.1666666666667</v>
      </c>
      <c r="J50" s="19">
        <f t="shared" si="1"/>
        <v>104.166666666667</v>
      </c>
      <c r="K50" s="58">
        <f t="shared" si="2"/>
        <v>61.3888888888889</v>
      </c>
      <c r="L50" s="71" t="s">
        <v>57</v>
      </c>
      <c r="M50" s="59" t="s">
        <v>21</v>
      </c>
    </row>
    <row r="51" spans="3:13" ht="30">
      <c r="C51" s="110"/>
      <c r="D51" s="30">
        <v>500</v>
      </c>
      <c r="E51" s="31">
        <v>130</v>
      </c>
      <c r="F51" s="22" t="s">
        <v>31</v>
      </c>
      <c r="G51" s="105"/>
      <c r="H51" s="23">
        <f t="shared" si="3"/>
        <v>97.2222222222222</v>
      </c>
      <c r="I51" s="61">
        <f t="shared" si="0"/>
        <v>76.9444444444444</v>
      </c>
      <c r="J51" s="44">
        <f t="shared" si="1"/>
        <v>69.4444444444444</v>
      </c>
      <c r="K51" s="70">
        <f t="shared" si="2"/>
        <v>49.1666666666667</v>
      </c>
      <c r="L51" s="72" t="s">
        <v>58</v>
      </c>
      <c r="M51" s="62" t="s">
        <v>21</v>
      </c>
    </row>
    <row r="52" spans="3:13" ht="30">
      <c r="C52" s="109" t="s">
        <v>47</v>
      </c>
      <c r="D52" s="28">
        <v>1100</v>
      </c>
      <c r="E52" s="29">
        <v>250</v>
      </c>
      <c r="F52" s="18" t="s">
        <v>22</v>
      </c>
      <c r="G52" s="104" t="s">
        <v>56</v>
      </c>
      <c r="H52" s="19">
        <f t="shared" si="3"/>
        <v>138.888888888889</v>
      </c>
      <c r="I52" s="58">
        <f t="shared" si="0"/>
        <v>90.2777777777778</v>
      </c>
      <c r="J52" s="73">
        <f t="shared" si="1"/>
        <v>111.111111111111</v>
      </c>
      <c r="K52" s="74">
        <f t="shared" si="2"/>
        <v>62.5</v>
      </c>
      <c r="L52" s="59" t="s">
        <v>57</v>
      </c>
      <c r="M52" s="59" t="s">
        <v>21</v>
      </c>
    </row>
    <row r="53" spans="3:13" ht="30">
      <c r="C53" s="110"/>
      <c r="D53" s="30">
        <v>450</v>
      </c>
      <c r="E53" s="31">
        <v>150</v>
      </c>
      <c r="F53" s="22" t="s">
        <v>31</v>
      </c>
      <c r="G53" s="105"/>
      <c r="H53" s="23">
        <f t="shared" si="3"/>
        <v>93.75</v>
      </c>
      <c r="I53" s="61">
        <f t="shared" si="0"/>
        <v>79.1666666666667</v>
      </c>
      <c r="J53" s="23">
        <f t="shared" si="1"/>
        <v>65.9722222222222</v>
      </c>
      <c r="K53" s="61">
        <f t="shared" si="2"/>
        <v>51.3888888888889</v>
      </c>
      <c r="L53" s="62" t="s">
        <v>58</v>
      </c>
      <c r="M53" s="62" t="s">
        <v>21</v>
      </c>
    </row>
    <row r="54" spans="3:13" ht="30">
      <c r="C54" s="109" t="s">
        <v>48</v>
      </c>
      <c r="D54" s="28">
        <v>1100</v>
      </c>
      <c r="E54" s="29">
        <v>250</v>
      </c>
      <c r="F54" s="18" t="s">
        <v>22</v>
      </c>
      <c r="G54" s="104" t="s">
        <v>56</v>
      </c>
      <c r="H54" s="19">
        <f t="shared" si="3"/>
        <v>138.888888888889</v>
      </c>
      <c r="I54" s="58">
        <f t="shared" si="0"/>
        <v>90.2777777777778</v>
      </c>
      <c r="J54" s="19">
        <f t="shared" si="1"/>
        <v>111.111111111111</v>
      </c>
      <c r="K54" s="58">
        <f t="shared" si="2"/>
        <v>62.5</v>
      </c>
      <c r="L54" s="59" t="s">
        <v>57</v>
      </c>
      <c r="M54" s="59" t="s">
        <v>21</v>
      </c>
    </row>
    <row r="55" spans="3:13" ht="30">
      <c r="C55" s="110"/>
      <c r="D55" s="30">
        <v>450</v>
      </c>
      <c r="E55" s="31">
        <v>150</v>
      </c>
      <c r="F55" s="22" t="s">
        <v>31</v>
      </c>
      <c r="G55" s="105"/>
      <c r="H55" s="23">
        <f t="shared" si="3"/>
        <v>93.75</v>
      </c>
      <c r="I55" s="61">
        <f t="shared" si="0"/>
        <v>79.1666666666667</v>
      </c>
      <c r="J55" s="23">
        <f t="shared" si="1"/>
        <v>65.9722222222222</v>
      </c>
      <c r="K55" s="61">
        <f t="shared" si="2"/>
        <v>51.3888888888889</v>
      </c>
      <c r="L55" s="62" t="s">
        <v>58</v>
      </c>
      <c r="M55" s="62" t="s">
        <v>21</v>
      </c>
    </row>
    <row r="56" spans="3:13" ht="30">
      <c r="C56" s="109" t="s">
        <v>51</v>
      </c>
      <c r="D56" s="28">
        <v>850</v>
      </c>
      <c r="E56" s="29">
        <v>180</v>
      </c>
      <c r="F56" s="18" t="s">
        <v>22</v>
      </c>
      <c r="G56" s="104" t="s">
        <v>56</v>
      </c>
      <c r="H56" s="19">
        <f t="shared" si="3"/>
        <v>121.527777777778</v>
      </c>
      <c r="I56" s="58">
        <f t="shared" si="0"/>
        <v>82.5</v>
      </c>
      <c r="J56" s="19">
        <f t="shared" si="1"/>
        <v>93.75</v>
      </c>
      <c r="K56" s="58">
        <f t="shared" si="2"/>
        <v>54.7222222222222</v>
      </c>
      <c r="L56" s="59" t="s">
        <v>57</v>
      </c>
      <c r="M56" s="59" t="s">
        <v>21</v>
      </c>
    </row>
    <row r="57" spans="3:13" ht="30">
      <c r="C57" s="110"/>
      <c r="D57" s="30">
        <v>480</v>
      </c>
      <c r="E57" s="31">
        <v>140</v>
      </c>
      <c r="F57" s="22" t="s">
        <v>31</v>
      </c>
      <c r="G57" s="105"/>
      <c r="H57" s="23">
        <f t="shared" si="3"/>
        <v>95.8333333333333</v>
      </c>
      <c r="I57" s="61">
        <f t="shared" si="0"/>
        <v>78.0555555555556</v>
      </c>
      <c r="J57" s="23">
        <f t="shared" si="1"/>
        <v>68.0555555555556</v>
      </c>
      <c r="K57" s="61">
        <f t="shared" si="2"/>
        <v>50.2777777777778</v>
      </c>
      <c r="L57" s="62" t="s">
        <v>58</v>
      </c>
      <c r="M57" s="62" t="s">
        <v>21</v>
      </c>
    </row>
    <row r="58" spans="3:13" ht="30">
      <c r="C58" s="109" t="s">
        <v>52</v>
      </c>
      <c r="D58" s="34">
        <v>1000</v>
      </c>
      <c r="E58" s="35">
        <v>260</v>
      </c>
      <c r="F58" s="18" t="s">
        <v>22</v>
      </c>
      <c r="G58" s="104" t="s">
        <v>56</v>
      </c>
      <c r="H58" s="19">
        <f t="shared" si="3"/>
        <v>131.944444444444</v>
      </c>
      <c r="I58" s="58">
        <f t="shared" si="0"/>
        <v>91.3888888888889</v>
      </c>
      <c r="J58" s="19">
        <f t="shared" si="1"/>
        <v>104.166666666667</v>
      </c>
      <c r="K58" s="58">
        <f t="shared" si="2"/>
        <v>63.6111111111111</v>
      </c>
      <c r="L58" s="59" t="s">
        <v>57</v>
      </c>
      <c r="M58" s="59" t="s">
        <v>21</v>
      </c>
    </row>
    <row r="59" spans="3:13" ht="30">
      <c r="C59" s="110"/>
      <c r="D59" s="36">
        <v>800</v>
      </c>
      <c r="E59" s="37">
        <v>200</v>
      </c>
      <c r="F59" s="22" t="s">
        <v>31</v>
      </c>
      <c r="G59" s="105"/>
      <c r="H59" s="23">
        <f t="shared" si="3"/>
        <v>118.055555555556</v>
      </c>
      <c r="I59" s="61">
        <f t="shared" si="0"/>
        <v>84.7222222222222</v>
      </c>
      <c r="J59" s="23">
        <f t="shared" si="1"/>
        <v>90.2777777777778</v>
      </c>
      <c r="K59" s="61">
        <f t="shared" si="2"/>
        <v>56.9444444444444</v>
      </c>
      <c r="L59" s="62" t="s">
        <v>58</v>
      </c>
      <c r="M59" s="62" t="s">
        <v>21</v>
      </c>
    </row>
    <row r="60" spans="3:13" ht="30">
      <c r="C60" s="109" t="s">
        <v>53</v>
      </c>
      <c r="D60" s="28">
        <v>950</v>
      </c>
      <c r="E60" s="29">
        <v>220</v>
      </c>
      <c r="F60" s="18" t="s">
        <v>22</v>
      </c>
      <c r="G60" s="104" t="s">
        <v>56</v>
      </c>
      <c r="H60" s="19">
        <f t="shared" si="3"/>
        <v>128.472222222222</v>
      </c>
      <c r="I60" s="58">
        <f t="shared" si="0"/>
        <v>86.9444444444444</v>
      </c>
      <c r="J60" s="19">
        <f t="shared" si="1"/>
        <v>100.694444444444</v>
      </c>
      <c r="K60" s="58">
        <f t="shared" si="2"/>
        <v>59.1666666666667</v>
      </c>
      <c r="L60" s="59" t="s">
        <v>57</v>
      </c>
      <c r="M60" s="59" t="s">
        <v>21</v>
      </c>
    </row>
    <row r="61" spans="3:13" ht="30">
      <c r="C61" s="110"/>
      <c r="D61" s="38">
        <v>950</v>
      </c>
      <c r="E61" s="39">
        <v>220</v>
      </c>
      <c r="F61" s="40" t="s">
        <v>31</v>
      </c>
      <c r="G61" s="122"/>
      <c r="H61" s="41">
        <f t="shared" si="3"/>
        <v>128.472222222222</v>
      </c>
      <c r="I61" s="69">
        <f t="shared" si="0"/>
        <v>86.9444444444444</v>
      </c>
      <c r="J61" s="41">
        <f t="shared" si="1"/>
        <v>100.694444444444</v>
      </c>
      <c r="K61" s="69">
        <f t="shared" si="2"/>
        <v>59.1666666666667</v>
      </c>
      <c r="L61" s="62" t="s">
        <v>58</v>
      </c>
      <c r="M61" s="62" t="s">
        <v>21</v>
      </c>
    </row>
    <row r="62" spans="3:13" ht="30">
      <c r="C62" s="109" t="s">
        <v>54</v>
      </c>
      <c r="D62" s="28">
        <v>1200</v>
      </c>
      <c r="E62" s="29">
        <v>300</v>
      </c>
      <c r="F62" s="42" t="s">
        <v>22</v>
      </c>
      <c r="G62" s="123" t="s">
        <v>56</v>
      </c>
      <c r="H62" s="19">
        <f t="shared" si="3"/>
        <v>145.833333333333</v>
      </c>
      <c r="I62" s="58">
        <f t="shared" si="0"/>
        <v>95.8333333333333</v>
      </c>
      <c r="J62" s="19">
        <f t="shared" si="1"/>
        <v>118.055555555556</v>
      </c>
      <c r="K62" s="58">
        <f t="shared" si="2"/>
        <v>68.0555555555556</v>
      </c>
      <c r="L62" s="59" t="s">
        <v>57</v>
      </c>
      <c r="M62" s="59" t="s">
        <v>21</v>
      </c>
    </row>
    <row r="63" spans="3:13" ht="30">
      <c r="C63" s="111"/>
      <c r="D63" s="30">
        <v>900</v>
      </c>
      <c r="E63" s="31">
        <v>260</v>
      </c>
      <c r="F63" s="43" t="s">
        <v>31</v>
      </c>
      <c r="G63" s="124"/>
      <c r="H63" s="44">
        <f t="shared" si="3"/>
        <v>125</v>
      </c>
      <c r="I63" s="70">
        <f t="shared" si="0"/>
        <v>91.3888888888889</v>
      </c>
      <c r="J63" s="44">
        <f t="shared" si="1"/>
        <v>97.2222222222222</v>
      </c>
      <c r="K63" s="70">
        <f t="shared" si="2"/>
        <v>63.6111111111111</v>
      </c>
      <c r="L63" s="62" t="s">
        <v>58</v>
      </c>
      <c r="M63" s="62" t="s">
        <v>21</v>
      </c>
    </row>
  </sheetData>
  <mergeCells count="49">
    <mergeCell ref="C14:M14"/>
    <mergeCell ref="H17:I17"/>
    <mergeCell ref="J17:K17"/>
    <mergeCell ref="H18:I18"/>
    <mergeCell ref="J18:K18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58:G59"/>
    <mergeCell ref="G60:G61"/>
    <mergeCell ref="G62:G63"/>
    <mergeCell ref="G48:G49"/>
    <mergeCell ref="G50:G51"/>
    <mergeCell ref="G52:G53"/>
    <mergeCell ref="G54:G55"/>
    <mergeCell ref="G56:G57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LCL</vt:lpstr>
      <vt:lpstr>LTL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Microsoft Office User</cp:lastModifiedBy>
  <dcterms:created xsi:type="dcterms:W3CDTF">2025-03-13T04:06:00Z</dcterms:created>
  <dcterms:modified xsi:type="dcterms:W3CDTF">2025-08-06T18:03:56Z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87486AEB5C684C5FA3A346510E57129A_13</vt:lpwstr>
  </property>
  <property fmtid="{D5CDD505-2E9C-101B-9397-08002B2CF9AE}" pid="3" name="KSOProductBuildVer">
    <vt:lpwstr>2052-12.1.0.21915</vt:lpwstr>
  </property>
</Properties>
</file>