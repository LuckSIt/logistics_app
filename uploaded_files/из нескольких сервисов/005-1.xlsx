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985" windowHeight="12975" firstSheet="1" activeTab="2"/>
  </bookViews>
  <sheets>
    <sheet name="Sea (FOB)" sheetId="3" r:id="rId1"/>
    <sheet name="Rail (EXW)" sheetId="1" r:id="rId2"/>
    <sheet name="Truck" sheetId="2" r:id="rId3"/>
    <sheet name="Southeast Asia - Russi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<sst xmlns="http://schemas.openxmlformats.org/spreadsheetml/2006/main" count="1082" uniqueCount="367">
  <si>
    <t>Sea - China to VVO/VYP</t>
  </si>
  <si>
    <t>POL</t>
  </si>
  <si>
    <t>POD</t>
  </si>
  <si>
    <t>Carrier</t>
  </si>
  <si>
    <t>20GP (USD)
SOC</t>
  </si>
  <si>
    <t>40HQ (USD)
SOC</t>
  </si>
  <si>
    <t>20GP (USD)
COC</t>
  </si>
  <si>
    <t>40HQ (USD)
COC</t>
  </si>
  <si>
    <t>ETD</t>
  </si>
  <si>
    <t>Later shipping date 
(price needs to be recalculated)</t>
  </si>
  <si>
    <t>HONG KONG</t>
  </si>
  <si>
    <t>VLADIVISTOK COMMERCIAL/FISHERY</t>
  </si>
  <si>
    <t>SINOKOR</t>
  </si>
  <si>
    <t>NANSHA</t>
  </si>
  <si>
    <t>VIA HONG KONG</t>
  </si>
  <si>
    <t>VLADIVISTOK COMMERCIAL</t>
  </si>
  <si>
    <t>FESCO</t>
  </si>
  <si>
    <t>SEHKOU</t>
  </si>
  <si>
    <t>5.30</t>
  </si>
  <si>
    <t>YANTIAN</t>
  </si>
  <si>
    <t>XIAMEN</t>
  </si>
  <si>
    <t>Vrangel Bay (VOSTOCHNY)</t>
  </si>
  <si>
    <t>STF(CSTAR)</t>
  </si>
  <si>
    <t>HEUNG-A/SINOKOR</t>
  </si>
  <si>
    <t>6.1</t>
  </si>
  <si>
    <t>SHANGHAI</t>
  </si>
  <si>
    <t>HEUNG-A</t>
  </si>
  <si>
    <t>SCO</t>
  </si>
  <si>
    <t>PING AN</t>
  </si>
  <si>
    <t>TAICANG</t>
  </si>
  <si>
    <t>SWIFT LINE</t>
  </si>
  <si>
    <t>HUA XIN</t>
  </si>
  <si>
    <t>6.10</t>
  </si>
  <si>
    <t>VLADIVISTOK FISH PORT</t>
  </si>
  <si>
    <t>NINGBO</t>
  </si>
  <si>
    <t>GANG TONG</t>
  </si>
  <si>
    <t>RIZHAO</t>
  </si>
  <si>
    <t>QINGDAO</t>
  </si>
  <si>
    <t>YOU LIAN</t>
  </si>
  <si>
    <t>via RIZHAO</t>
  </si>
  <si>
    <t>FAST SHIPPING LINE(GANG TONG)</t>
  </si>
  <si>
    <t>VLADIVISTOK FISH PORT/SOLLER</t>
  </si>
  <si>
    <t>TIANJIN</t>
  </si>
  <si>
    <t>6.13</t>
  </si>
  <si>
    <t>DALIAN</t>
  </si>
  <si>
    <t>Remark:</t>
  </si>
  <si>
    <t>FOB terms
1. All prices above include DTHC DDF
2. SOC bare cargo space is pure freight without boxes
3. COC includes boxes, no charge for returning to Moscow, please inquire for returning to other locations
4. 20GP empty drop off  to Moscow/Yekaterinburg/Vladivostok is free</t>
  </si>
  <si>
    <t>PS：</t>
  </si>
  <si>
    <t>If you have any inquiry or actual order, please verify with me again~~</t>
  </si>
  <si>
    <t>Sea - China to STP</t>
  </si>
  <si>
    <t>FILO
20GP (USD)
SOC</t>
  </si>
  <si>
    <t>FILO
40HQ (USD)
SOC</t>
  </si>
  <si>
    <t>FILO
20GP (USD)
COC</t>
  </si>
  <si>
    <t>FILO
40HQ (USD)
COC</t>
  </si>
  <si>
    <t>St.PETERSBURG(PLP)</t>
  </si>
  <si>
    <t>SAFETRANS</t>
  </si>
  <si>
    <t>-</t>
  </si>
  <si>
    <t>MODUL</t>
  </si>
  <si>
    <t>St.PETERSBURG</t>
  </si>
  <si>
    <t>REEL SHIPPING</t>
  </si>
  <si>
    <t>VIA INNSA</t>
  </si>
  <si>
    <t>St.PETERSBURG(Bronka)</t>
  </si>
  <si>
    <t>NNS/JUNAN</t>
  </si>
  <si>
    <t>St.PETERSBURG(FCT)</t>
  </si>
  <si>
    <t>CSTAR</t>
  </si>
  <si>
    <t>VIA JESSDH VIA LZMIT</t>
  </si>
  <si>
    <t>HUAXIN</t>
  </si>
  <si>
    <t>Wed&amp;Sun</t>
  </si>
  <si>
    <t>VIA SHANGHAI</t>
  </si>
  <si>
    <t>JINGTANG</t>
  </si>
  <si>
    <t>1. All prices above include DTHC DDF
2. SOC is pure freight without box
3. COC includes shipping company box, free of cntr for 14 days at port
4. FESCO, DDF: USD115 needs to be paid on delivery, the table already includes</t>
  </si>
  <si>
    <t>NOVOROSSIYSK Price</t>
  </si>
  <si>
    <t xml:space="preserve">POL </t>
  </si>
  <si>
    <t>COC RATE</t>
  </si>
  <si>
    <t>FREE TIME</t>
  </si>
  <si>
    <t>VIA</t>
  </si>
  <si>
    <t>T/T</t>
  </si>
  <si>
    <t>Remark</t>
  </si>
  <si>
    <t xml:space="preserve">AKKON </t>
  </si>
  <si>
    <t>3150/4700</t>
  </si>
  <si>
    <t>14</t>
  </si>
  <si>
    <t>6.2</t>
  </si>
  <si>
    <t>GEMLIK</t>
  </si>
  <si>
    <t>48</t>
  </si>
  <si>
    <t xml:space="preserve"> the max for 20'GP is:23TON Overweight charge+USD100 </t>
  </si>
  <si>
    <t>6.3</t>
  </si>
  <si>
    <t>6.7</t>
  </si>
  <si>
    <t>Cstar</t>
  </si>
  <si>
    <t>2825/3750</t>
  </si>
  <si>
    <t>5.26</t>
  </si>
  <si>
    <t>jeddah</t>
  </si>
  <si>
    <t>55-65</t>
  </si>
  <si>
    <t xml:space="preserve">No need for OWS, the max for 20'GP is: 27 tons </t>
  </si>
  <si>
    <t>5.24</t>
  </si>
  <si>
    <t>5.29</t>
  </si>
  <si>
    <t>XHL</t>
  </si>
  <si>
    <t>3150/4000</t>
  </si>
  <si>
    <t>6.6</t>
  </si>
  <si>
    <t>Direct</t>
  </si>
  <si>
    <t>40-45</t>
  </si>
  <si>
    <t>5.31</t>
  </si>
  <si>
    <t>Via Taicang+direct</t>
  </si>
  <si>
    <t>45-50</t>
  </si>
  <si>
    <t>/</t>
  </si>
  <si>
    <t>3300/4300</t>
  </si>
  <si>
    <t>5.25</t>
  </si>
  <si>
    <t>NANJIN</t>
  </si>
  <si>
    <t>Laem chabang</t>
  </si>
  <si>
    <t>3550/4600</t>
  </si>
  <si>
    <t>HOCHIMINH</t>
  </si>
  <si>
    <t>TAIWAN</t>
  </si>
  <si>
    <t>JAPAN</t>
  </si>
  <si>
    <t>1. Above rate based on FOB term, does not include the DTHC in Novorossiysk</t>
  </si>
  <si>
    <t>2. DTHC charge: AKKON: USD472/520, SAFETRANS: USD550/550 ,SINOKOR: USD550/650,UGL: DTHC520/550, ALINE:USD650+RLSUSD50,CSTAR:USD500/500</t>
  </si>
  <si>
    <t>3. Empty return to Novorossiysk for free, if need to return to other Russia city, check case by case.</t>
  </si>
  <si>
    <t>Departure city</t>
  </si>
  <si>
    <t>Route</t>
  </si>
  <si>
    <t>Destination</t>
  </si>
  <si>
    <t>EXW Term
Rate(USD/40HQ)</t>
  </si>
  <si>
    <t>Shanghai/Suzhou/Changzhou/Nantong/Nanjing</t>
  </si>
  <si>
    <t>Zhengzhou station - Alashankou border - Moscow Elektrougli</t>
  </si>
  <si>
    <t>Moscow</t>
  </si>
  <si>
    <t>Ningbo/Shaoxing/Hangzhou</t>
  </si>
  <si>
    <t>Qingdao/Linyi</t>
  </si>
  <si>
    <t>Tianjin/Cangzhou</t>
  </si>
  <si>
    <t>Luoyang/Jiaozuo</t>
  </si>
  <si>
    <t>Shijiazhuang/Hengshui/Tianjin</t>
  </si>
  <si>
    <t>Shijiazhuang station - Elian border - Moscow Elektrougli</t>
  </si>
  <si>
    <t>Tianjin/Cangzhou/Langfang</t>
  </si>
  <si>
    <t>Beijing/Jianan/Qingdao</t>
  </si>
  <si>
    <t>Xingtai</t>
  </si>
  <si>
    <t>Hengshui</t>
  </si>
  <si>
    <t>Wuhan</t>
  </si>
  <si>
    <t>Wuhan station - Alashankou border - Moscow Elektrougli</t>
  </si>
  <si>
    <t>Latest loading time: 6 days before ETD</t>
  </si>
  <si>
    <t>Shanghai</t>
  </si>
  <si>
    <t>Qingdao</t>
  </si>
  <si>
    <t>Guangzhou/Shenzhen</t>
  </si>
  <si>
    <t>Tianjin</t>
  </si>
  <si>
    <t>Ningbo</t>
  </si>
  <si>
    <t>Xiamen</t>
  </si>
  <si>
    <t>Yiwu</t>
  </si>
  <si>
    <t>Yiwu station - Elian border - Moscow Khovrino</t>
  </si>
  <si>
    <t>Taizhou</t>
  </si>
  <si>
    <t>Jinhua</t>
  </si>
  <si>
    <t>Wuxi</t>
  </si>
  <si>
    <t>Wenzhou</t>
  </si>
  <si>
    <t>Shanghai/Wuxi/Suzhou</t>
  </si>
  <si>
    <t>Xuzhou station - Erlian border - Moscow Selyatino</t>
  </si>
  <si>
    <t>Qingdao/Xuzhou</t>
  </si>
  <si>
    <t>Jining/Zhengzhou</t>
  </si>
  <si>
    <t>Tianjin/Hejian</t>
  </si>
  <si>
    <t>Hangzhou/Hefei</t>
  </si>
  <si>
    <t>Binzhou/Suzhou</t>
  </si>
  <si>
    <t>Wenzhou/Taizhou</t>
  </si>
  <si>
    <t>Ningbo/Yuyao</t>
  </si>
  <si>
    <t>Tianjin/Binhai</t>
  </si>
  <si>
    <t>Tianjin station - Elian border - Moscow Bely rast</t>
  </si>
  <si>
    <t>5/26/5.29</t>
  </si>
  <si>
    <t>Latest loading time: 7 days before ETD</t>
  </si>
  <si>
    <t>Langfang/Caofeidian/Bazhou</t>
  </si>
  <si>
    <t>Tangshan/Cangzhou/Shunyi</t>
  </si>
  <si>
    <t>Beijing/Tongzhou/Xingtai/Dezhou/Hengshui</t>
  </si>
  <si>
    <t>Jinan/Shouguang/Dongying/Weifang</t>
  </si>
  <si>
    <t>Qinhuangdao</t>
  </si>
  <si>
    <t>Shenyang</t>
  </si>
  <si>
    <t>Dalian</t>
  </si>
  <si>
    <t>Chengdu</t>
  </si>
  <si>
    <t>Chongqing station - Alashankou/Khorgos border - Moscow Elektrougli/Selyatino</t>
  </si>
  <si>
    <t>5.24/5.26/5.30</t>
  </si>
  <si>
    <t>Complete loading 6 days before ETD</t>
  </si>
  <si>
    <t>Chongqing</t>
  </si>
  <si>
    <t>Guangzhou/Shenzhen/Foshan/Zhongshan/Dongguan</t>
  </si>
  <si>
    <t>Shantou/Chaozhou</t>
  </si>
  <si>
    <t>Chengdu station - Manzhouli border - Moscow Elektrougli
Chengdu station - Elian border - Moscow Elektrougli</t>
  </si>
  <si>
    <t>Complete loading 10 days before ETD</t>
  </si>
  <si>
    <t>Qingdao/Tianjin</t>
  </si>
  <si>
    <t>Zhongshan</t>
  </si>
  <si>
    <t>Guangzhou</t>
  </si>
  <si>
    <t>Datian station - Elian border - Moscow Selyatino
Zengcheng station - Khorgos border - Moscow Elektrougli</t>
  </si>
  <si>
    <t>Shenzhen/Dongguan/Zhongshan/Foshan</t>
  </si>
  <si>
    <t>Qingyuan/Zhaoqing</t>
  </si>
  <si>
    <t>Huizhou</t>
  </si>
  <si>
    <t>Shantou/Chaozhou/Jieyang</t>
  </si>
  <si>
    <t>Shenzhen/Zhongshan/Huizhou</t>
  </si>
  <si>
    <t>Changsha station - Manzhouli border- Moscow Selyatino/Vorsino</t>
  </si>
  <si>
    <t>Late May</t>
  </si>
  <si>
    <t>Foshan</t>
  </si>
  <si>
    <t>Zhaoqing/Yunfu</t>
  </si>
  <si>
    <t>Changsha</t>
  </si>
  <si>
    <t>Quanzhou/Putian</t>
  </si>
  <si>
    <t>Shanghai/Suzhou/Jiaxing</t>
  </si>
  <si>
    <t>Shenyang station- Manzhouli border - Moscow Bely rast</t>
  </si>
  <si>
    <t>Late May/
Early June</t>
  </si>
  <si>
    <t>Complete loading 9 days before ETD</t>
  </si>
  <si>
    <t>Changzhou/Huzhou</t>
  </si>
  <si>
    <t>Hangzhou/Shaoxing</t>
  </si>
  <si>
    <t>Huangpu/Nansha/Shekou</t>
  </si>
  <si>
    <t>Jinhua/Yiwu</t>
  </si>
  <si>
    <t>Dalian station - Manzhouli border - Moscow Bely rast</t>
  </si>
  <si>
    <t>6.04/6.07/6.11</t>
  </si>
  <si>
    <t>Shanghai/Suzhou</t>
  </si>
  <si>
    <t>Changzhou/Huzhou/Nantong/Wuxi</t>
  </si>
  <si>
    <t>Ningbo/Cixi/Yuyao</t>
  </si>
  <si>
    <t>Shouguang</t>
  </si>
  <si>
    <t>Jinan</t>
  </si>
  <si>
    <t>Cangzhou</t>
  </si>
  <si>
    <t>Jinhua station - Manzhouli border - Moscow Selyatino</t>
  </si>
  <si>
    <t>Shanghai/Suzhou/Hangzhou/Shaoxing</t>
  </si>
  <si>
    <t>Yiwu/Jinhua</t>
  </si>
  <si>
    <t>Jinhua station - Erlian border - Moscow Selyatino</t>
  </si>
  <si>
    <t>Ningbo/Cixi/Yuyao/Shaoxing</t>
  </si>
  <si>
    <t>Taizhou/Wenling</t>
  </si>
  <si>
    <t>Yiwu station- Elian border - Moscow Khovrino</t>
  </si>
  <si>
    <t>Xian</t>
  </si>
  <si>
    <t>Xian station- Khorgos border - Moscow Elektrougli</t>
  </si>
  <si>
    <t>5.25/5.28/5.31</t>
  </si>
  <si>
    <t>Zhengzhou</t>
  </si>
  <si>
    <t>Qingdao/Weifang/Linyi</t>
  </si>
  <si>
    <t>Tianjin/Baoding/Cangzhou</t>
  </si>
  <si>
    <t>Shanghai/Suzhou/Wuxi</t>
  </si>
  <si>
    <t>Ningbo/Jiaxing/Yuyao</t>
  </si>
  <si>
    <t>Yiwu/Jinhua/Zhuji</t>
  </si>
  <si>
    <t>Xiamen/Quanzhou/Jinjiang</t>
  </si>
  <si>
    <t>Guangzhou/Dongguan/Foshan/Taizhou/Wenling</t>
  </si>
  <si>
    <t>Chengdu station - Alashankou/Khorgos border - St.peterburg Shushary V</t>
  </si>
  <si>
    <t>St. Peterburg</t>
  </si>
  <si>
    <t>Suzhou/Tongxiang</t>
  </si>
  <si>
    <t>Zhongshan/Foshan/Shenzhen</t>
  </si>
  <si>
    <t>Guangzhou/Foshan/Dongguan/Zhongshan</t>
  </si>
  <si>
    <t>Changsha station - Manzhouli border- St.peterburg Shushary L</t>
  </si>
  <si>
    <t>St.peterburg</t>
  </si>
  <si>
    <t>Shenzhen</t>
  </si>
  <si>
    <t>Shanghai/Suzhou/Ningbo/Cixi/Jinhua/Yiwu</t>
  </si>
  <si>
    <t>Wenzhou/Ruian</t>
  </si>
  <si>
    <t>Qingdao/Jiaozhou</t>
  </si>
  <si>
    <t>Xian station - Alashankou/Khorgos border-St.peterburg Shushary V</t>
  </si>
  <si>
    <t>Tianjin/Dezhou/Cangzhou</t>
  </si>
  <si>
    <t>Shanghai/Taicang/Kunshan</t>
  </si>
  <si>
    <t>Ningbo/Yuyao/Cixi</t>
  </si>
  <si>
    <t>Dalian station - Manzhouli border-St.peterburg Shushary V/L</t>
  </si>
  <si>
    <t>Changzhou/Huzhou/Nantong/Wuxi/Shouguang</t>
  </si>
  <si>
    <t>Ningbo/Cixi/Yuyao/Jinan</t>
  </si>
  <si>
    <t>Guangzhou/Zhongshan/Foshan/Dongguan/Shunde</t>
  </si>
  <si>
    <t>Ganzhou station - Manzhouli border - St.peterburg Shushary</t>
  </si>
  <si>
    <t>Jiangmen/Huizhou</t>
  </si>
  <si>
    <t>Chaozhou/Shantou</t>
  </si>
  <si>
    <t>Shanghai/Hangzhou/Shaoxing/Jinhua</t>
  </si>
  <si>
    <t>Yiwu station - Manzhouli border - St.peterburg Shushary</t>
  </si>
  <si>
    <t>5.22/5.24/5.26/5.28</t>
  </si>
  <si>
    <t>Suzhou/Changzhou</t>
  </si>
  <si>
    <t>Ningbo/Taizhou</t>
  </si>
  <si>
    <t>Wenzhou/Nantong</t>
  </si>
  <si>
    <t>Qizhou</t>
  </si>
  <si>
    <t>Shanghai/Taicang/Wuxi</t>
  </si>
  <si>
    <t>Nanjing station - Manzhouli border - St.peterburg Shushary L</t>
  </si>
  <si>
    <t>Nanjing/Suzhou</t>
  </si>
  <si>
    <t>Yuyao/Cixi</t>
  </si>
  <si>
    <t>Tongxiang/Shaoxing</t>
  </si>
  <si>
    <t>Huangshan</t>
  </si>
  <si>
    <t>Shanghai/Pudong</t>
  </si>
  <si>
    <t>Shenyang station- Manzhouli border - St.peterburg Shushary</t>
  </si>
  <si>
    <t>Ningbo/Yiwu</t>
  </si>
  <si>
    <t>Taizhou/Chizhou</t>
  </si>
  <si>
    <t>Zengcheng station - Manzhouli border -  St.peterburg Shushary</t>
  </si>
  <si>
    <t>Shenzhen/Foshan/Donggguan/Zhongshan</t>
  </si>
  <si>
    <t>Jiangmen/Qingyuan/Zhaoqing/Zhuhai/Huizhou</t>
  </si>
  <si>
    <t>Shantou/Chaozou</t>
  </si>
  <si>
    <t>Chongqing station - Manzhouli border - Yekaterinburg</t>
  </si>
  <si>
    <t>Yekaterinburg</t>
  </si>
  <si>
    <t>Yiwu station  Manzhouli border - Yekaterinburg</t>
  </si>
  <si>
    <t>5.24/5.26/5.28</t>
  </si>
  <si>
    <t>Xian station - Manzhouli border- Yekaterinburg</t>
  </si>
  <si>
    <t>Wuhan station - Alashankou border - Yekaterinburg</t>
  </si>
  <si>
    <t>Yancheng</t>
  </si>
  <si>
    <t>Shanghai/Anqing/Kunshan</t>
  </si>
  <si>
    <t>Ningbo/Jinhua</t>
  </si>
  <si>
    <t>Xiamen/Guangzhou/Shenzhen</t>
  </si>
  <si>
    <t>Ganzhou station - Manzhouli border - Yekaterinburg</t>
  </si>
  <si>
    <t>Shenyang station - Manzhouli border- Yekaterinburg</t>
  </si>
  <si>
    <t>Early June</t>
  </si>
  <si>
    <t>Zengcheng station - Manzhouli border - Yekaterinburg</t>
  </si>
  <si>
    <t>Zengcheng station-Manzhouli border - Novosibirsk</t>
  </si>
  <si>
    <t>Novosibirsk</t>
  </si>
  <si>
    <t>Xian station - Manzhouli border- Novosibirsk</t>
  </si>
  <si>
    <t>Ganzhou station - Manzhouli border - Novosibirsk</t>
  </si>
  <si>
    <t>Yiwu station - Manzhouli border - Novosibirsk</t>
  </si>
  <si>
    <t>Shenyang station - Manzhouli border- Novosibirsk</t>
  </si>
  <si>
    <t>Chongqing station- Alashankou/Khorgos border-Minsk Kolyadichi</t>
  </si>
  <si>
    <t>Minsk</t>
  </si>
  <si>
    <t>Ningbo/Shaoxing/Yuyao</t>
  </si>
  <si>
    <t>Qingdao/Linyi/Weifang</t>
  </si>
  <si>
    <t>Zhongshan/Foshan/Dongguan</t>
  </si>
  <si>
    <t>Qingyuan/Huihzou/Zhuhai</t>
  </si>
  <si>
    <t>Chengdu station - Alashankou/Khorgos border - Minsk Kolyadichi</t>
  </si>
  <si>
    <t>5.26/5.29</t>
  </si>
  <si>
    <t>Qingyuan/Huizhou/Zhuhai</t>
  </si>
  <si>
    <t>Dalian station - Manzhouli border - Minsk Kolyadichi</t>
  </si>
  <si>
    <t>Wuxi/Jiaxing</t>
  </si>
  <si>
    <t>Hangzhou</t>
  </si>
  <si>
    <t>Yongkang/Jinhua</t>
  </si>
  <si>
    <t>Nanjing station - Erlian border - Minsk Kolyadichi</t>
  </si>
  <si>
    <t>Nanjing/Changzhou/Jiaixng</t>
  </si>
  <si>
    <t>Wenzhou/Taizhou/Wenling</t>
  </si>
  <si>
    <t>Shanghai/Pudpng</t>
  </si>
  <si>
    <t>Shenyang - Manzhouli border - Minsk Kolyadichi</t>
  </si>
  <si>
    <t>Shenzhen/Zhongshan/Dongguan</t>
  </si>
  <si>
    <t>Changsha station - Manzhouli border-Minsk Kolyadichi</t>
  </si>
  <si>
    <t>Quanzhou</t>
  </si>
  <si>
    <t>Putian</t>
  </si>
  <si>
    <t>RATES FOR TRUCKING SERVICE FROM CHINA TO Russia/Belarus</t>
  </si>
  <si>
    <t>Type of goods:Carton cargo, general cargo, palletised cargo, equipment cargo</t>
  </si>
  <si>
    <r>
      <rPr>
        <b/>
        <sz val="16"/>
        <color theme="4"/>
        <rFont val="Times New Roman"/>
        <charset val="134"/>
      </rPr>
      <t>Available truck Type</t>
    </r>
    <r>
      <rPr>
        <b/>
        <sz val="16"/>
        <color theme="4"/>
        <rFont val="黑体"/>
        <charset val="134"/>
      </rPr>
      <t>：</t>
    </r>
    <r>
      <rPr>
        <b/>
        <sz val="16"/>
        <color theme="4"/>
        <rFont val="Times New Roman"/>
        <charset val="134"/>
      </rPr>
      <t>Box truck</t>
    </r>
    <r>
      <rPr>
        <b/>
        <sz val="16"/>
        <color theme="4"/>
        <rFont val="黑体"/>
        <charset val="134"/>
      </rPr>
      <t>（</t>
    </r>
    <r>
      <rPr>
        <b/>
        <sz val="16"/>
        <color theme="4"/>
        <rFont val="Times New Roman"/>
        <charset val="134"/>
      </rPr>
      <t>82CBM,22TONS</t>
    </r>
    <r>
      <rPr>
        <b/>
        <sz val="16"/>
        <color theme="4"/>
        <rFont val="黑体"/>
        <charset val="134"/>
      </rPr>
      <t>）</t>
    </r>
    <r>
      <rPr>
        <b/>
        <sz val="16"/>
        <color theme="4"/>
        <rFont val="Times New Roman"/>
        <charset val="134"/>
      </rPr>
      <t>/Tilt truck</t>
    </r>
    <r>
      <rPr>
        <b/>
        <sz val="16"/>
        <color theme="4"/>
        <rFont val="黑体"/>
        <charset val="134"/>
      </rPr>
      <t>（</t>
    </r>
    <r>
      <rPr>
        <b/>
        <sz val="16"/>
        <color theme="4"/>
        <rFont val="Times New Roman"/>
        <charset val="134"/>
      </rPr>
      <t>82CBM,22TONS</t>
    </r>
    <r>
      <rPr>
        <b/>
        <sz val="16"/>
        <color theme="4"/>
        <rFont val="黑体"/>
        <charset val="134"/>
      </rPr>
      <t>）</t>
    </r>
  </si>
  <si>
    <t>Unloading City</t>
  </si>
  <si>
    <r>
      <rPr>
        <b/>
        <sz val="12"/>
        <color theme="1"/>
        <rFont val="Times New Roman"/>
        <charset val="134"/>
      </rPr>
      <t>CN BORDER:Alashankou(</t>
    </r>
    <r>
      <rPr>
        <b/>
        <sz val="12"/>
        <color rgb="FFFF0000"/>
        <rFont val="Times New Roman"/>
        <charset val="134"/>
      </rPr>
      <t>USD</t>
    </r>
    <r>
      <rPr>
        <b/>
        <sz val="12"/>
        <color theme="1"/>
        <rFont val="Times New Roman"/>
        <charset val="134"/>
      </rPr>
      <t>)
Truck Type</t>
    </r>
    <r>
      <rPr>
        <b/>
        <sz val="12"/>
        <color theme="1"/>
        <rFont val="宋体"/>
        <charset val="134"/>
      </rPr>
      <t>：</t>
    </r>
    <r>
      <rPr>
        <b/>
        <sz val="12"/>
        <color theme="1"/>
        <rFont val="Times New Roman"/>
        <charset val="134"/>
      </rPr>
      <t xml:space="preserve">
</t>
    </r>
    <r>
      <rPr>
        <b/>
        <sz val="12"/>
        <color rgb="FFFF0000"/>
        <rFont val="Times New Roman"/>
        <charset val="134"/>
      </rPr>
      <t>Box truck</t>
    </r>
    <r>
      <rPr>
        <b/>
        <sz val="12"/>
        <color rgb="FFFF0000"/>
        <rFont val="宋体"/>
        <charset val="134"/>
      </rPr>
      <t>（</t>
    </r>
    <r>
      <rPr>
        <b/>
        <sz val="12"/>
        <color rgb="FFFF0000"/>
        <rFont val="Times New Roman"/>
        <charset val="134"/>
      </rPr>
      <t>82CBM,22TONS</t>
    </r>
    <r>
      <rPr>
        <b/>
        <sz val="12"/>
        <color rgb="FFFF0000"/>
        <rFont val="宋体"/>
        <charset val="134"/>
      </rPr>
      <t>）</t>
    </r>
    <r>
      <rPr>
        <b/>
        <sz val="12"/>
        <color rgb="FFFF0000"/>
        <rFont val="Times New Roman"/>
        <charset val="134"/>
      </rPr>
      <t xml:space="preserve">                        Tilt truck</t>
    </r>
    <r>
      <rPr>
        <b/>
        <sz val="12"/>
        <color rgb="FFFF0000"/>
        <rFont val="宋体"/>
        <charset val="134"/>
      </rPr>
      <t>（</t>
    </r>
    <r>
      <rPr>
        <b/>
        <sz val="12"/>
        <color rgb="FFFF0000"/>
        <rFont val="Times New Roman"/>
        <charset val="134"/>
      </rPr>
      <t>82CBM,22TONS</t>
    </r>
    <r>
      <rPr>
        <b/>
        <sz val="12"/>
        <color rgb="FFFF0000"/>
        <rFont val="宋体"/>
        <charset val="134"/>
      </rPr>
      <t>）</t>
    </r>
  </si>
  <si>
    <t xml:space="preserve">TRANSIT TIME 
(DAYS) </t>
  </si>
  <si>
    <t>VIA PORT</t>
  </si>
  <si>
    <t>深圳/广州 Shenzhen/Guangzhou</t>
  </si>
  <si>
    <t>RUS</t>
  </si>
  <si>
    <r>
      <rPr>
        <b/>
        <sz val="11"/>
        <color theme="1"/>
        <rFont val="Times New Roman"/>
        <charset val="134"/>
      </rPr>
      <t>Moscow</t>
    </r>
    <r>
      <rPr>
        <b/>
        <sz val="11"/>
        <color theme="1"/>
        <rFont val="宋体"/>
        <charset val="134"/>
      </rPr>
      <t>（</t>
    </r>
    <r>
      <rPr>
        <b/>
        <sz val="11"/>
        <color theme="1"/>
        <rFont val="Times New Roman"/>
        <charset val="134"/>
      </rPr>
      <t>Москва</t>
    </r>
    <r>
      <rPr>
        <b/>
        <sz val="11"/>
        <color theme="1"/>
        <rFont val="宋体"/>
        <charset val="134"/>
      </rPr>
      <t>）</t>
    </r>
  </si>
  <si>
    <t>莫斯科</t>
  </si>
  <si>
    <t>18-20</t>
  </si>
  <si>
    <t>Alashankou</t>
  </si>
  <si>
    <r>
      <rPr>
        <b/>
        <sz val="11"/>
        <color theme="1"/>
        <rFont val="Times New Roman"/>
        <charset val="134"/>
      </rPr>
      <t>St. Petersburg</t>
    </r>
    <r>
      <rPr>
        <b/>
        <sz val="11"/>
        <color theme="1"/>
        <rFont val="宋体"/>
        <charset val="134"/>
      </rPr>
      <t>（</t>
    </r>
    <r>
      <rPr>
        <b/>
        <sz val="11"/>
        <color theme="1"/>
        <rFont val="Times New Roman"/>
        <charset val="134"/>
      </rPr>
      <t>Санкт-Петербург</t>
    </r>
    <r>
      <rPr>
        <b/>
        <sz val="11"/>
        <color theme="1"/>
        <rFont val="宋体"/>
        <charset val="134"/>
      </rPr>
      <t>）</t>
    </r>
  </si>
  <si>
    <t>圣彼得堡</t>
  </si>
  <si>
    <r>
      <rPr>
        <b/>
        <sz val="11"/>
        <color theme="1"/>
        <rFont val="Times New Roman"/>
        <charset val="134"/>
      </rPr>
      <t>Novosibirsk</t>
    </r>
    <r>
      <rPr>
        <b/>
        <sz val="11"/>
        <color theme="1"/>
        <rFont val="宋体"/>
        <charset val="134"/>
      </rPr>
      <t>（</t>
    </r>
    <r>
      <rPr>
        <b/>
        <sz val="11"/>
        <color theme="1"/>
        <rFont val="Times New Roman"/>
        <charset val="134"/>
      </rPr>
      <t>Новосибирск</t>
    </r>
    <r>
      <rPr>
        <b/>
        <sz val="11"/>
        <color theme="1"/>
        <rFont val="宋体"/>
        <charset val="134"/>
      </rPr>
      <t>）</t>
    </r>
  </si>
  <si>
    <t>新西伯利亚</t>
  </si>
  <si>
    <t>BY</t>
  </si>
  <si>
    <r>
      <rPr>
        <b/>
        <sz val="11"/>
        <color theme="1"/>
        <rFont val="Times New Roman"/>
        <charset val="134"/>
      </rPr>
      <t>Minsk</t>
    </r>
    <r>
      <rPr>
        <b/>
        <sz val="11"/>
        <color theme="1"/>
        <rFont val="宋体"/>
        <charset val="134"/>
      </rPr>
      <t>（</t>
    </r>
    <r>
      <rPr>
        <b/>
        <sz val="11"/>
        <color theme="1"/>
        <rFont val="Times New Roman"/>
        <charset val="134"/>
      </rPr>
      <t>Минск</t>
    </r>
    <r>
      <rPr>
        <b/>
        <sz val="11"/>
        <color theme="1"/>
        <rFont val="宋体"/>
        <charset val="134"/>
      </rPr>
      <t>）</t>
    </r>
  </si>
  <si>
    <t>明斯克</t>
  </si>
  <si>
    <t>18-22</t>
  </si>
  <si>
    <r>
      <rPr>
        <b/>
        <sz val="11"/>
        <color theme="1"/>
        <rFont val="Times New Roman"/>
        <charset val="134"/>
      </rPr>
      <t>Yekaterinburg</t>
    </r>
    <r>
      <rPr>
        <b/>
        <sz val="11"/>
        <color theme="1"/>
        <rFont val="宋体"/>
        <charset val="134"/>
      </rPr>
      <t>（</t>
    </r>
    <r>
      <rPr>
        <b/>
        <sz val="11"/>
        <color theme="1"/>
        <rFont val="Times New Roman"/>
        <charset val="134"/>
      </rPr>
      <t>Екатеринбург</t>
    </r>
    <r>
      <rPr>
        <b/>
        <sz val="11"/>
        <color theme="1"/>
        <rFont val="宋体"/>
        <charset val="134"/>
      </rPr>
      <t>）</t>
    </r>
  </si>
  <si>
    <t>叶卡捷琳堡</t>
  </si>
  <si>
    <r>
      <rPr>
        <b/>
        <sz val="11"/>
        <color theme="1"/>
        <rFont val="黑体"/>
        <charset val="134"/>
      </rPr>
      <t>厦门</t>
    </r>
    <r>
      <rPr>
        <b/>
        <sz val="11"/>
        <color theme="1"/>
        <rFont val="Times New Roman"/>
        <charset val="134"/>
      </rPr>
      <t xml:space="preserve"> Xiamen</t>
    </r>
  </si>
  <si>
    <r>
      <rPr>
        <b/>
        <sz val="11"/>
        <color theme="1"/>
        <rFont val="黑体"/>
        <charset val="134"/>
      </rPr>
      <t>宁波</t>
    </r>
    <r>
      <rPr>
        <b/>
        <sz val="11"/>
        <color theme="1"/>
        <rFont val="Times New Roman"/>
        <charset val="134"/>
      </rPr>
      <t xml:space="preserve"> Ningbo</t>
    </r>
  </si>
  <si>
    <t>Yekaterinburg（Екатеринбург）</t>
  </si>
  <si>
    <r>
      <rPr>
        <b/>
        <sz val="11"/>
        <color theme="1"/>
        <rFont val="黑体"/>
        <charset val="134"/>
      </rPr>
      <t>上海</t>
    </r>
    <r>
      <rPr>
        <b/>
        <sz val="11"/>
        <color theme="1"/>
        <rFont val="Times New Roman"/>
        <charset val="134"/>
      </rPr>
      <t xml:space="preserve"> Shanghai</t>
    </r>
  </si>
  <si>
    <r>
      <rPr>
        <b/>
        <sz val="11"/>
        <color theme="1"/>
        <rFont val="黑体"/>
        <charset val="134"/>
      </rPr>
      <t>青岛</t>
    </r>
    <r>
      <rPr>
        <b/>
        <sz val="11"/>
        <color theme="1"/>
        <rFont val="Times New Roman"/>
        <charset val="134"/>
      </rPr>
      <t xml:space="preserve"> Qingdao</t>
    </r>
  </si>
  <si>
    <r>
      <rPr>
        <b/>
        <sz val="11"/>
        <color theme="1"/>
        <rFont val="黑体"/>
        <charset val="134"/>
      </rPr>
      <t>天津</t>
    </r>
    <r>
      <rPr>
        <b/>
        <sz val="11"/>
        <color theme="1"/>
        <rFont val="Times New Roman"/>
        <charset val="134"/>
      </rPr>
      <t xml:space="preserve"> Tianjin</t>
    </r>
  </si>
  <si>
    <r>
      <rPr>
        <b/>
        <sz val="11"/>
        <color theme="1"/>
        <rFont val="黑体"/>
        <charset val="134"/>
      </rPr>
      <t>大连</t>
    </r>
    <r>
      <rPr>
        <b/>
        <sz val="11"/>
        <color theme="1"/>
        <rFont val="Times New Roman"/>
        <charset val="134"/>
      </rPr>
      <t xml:space="preserve"> Dalian</t>
    </r>
  </si>
  <si>
    <r>
      <rPr>
        <b/>
        <sz val="11"/>
        <color theme="1"/>
        <rFont val="黑体"/>
        <charset val="134"/>
      </rPr>
      <t>武汉</t>
    </r>
    <r>
      <rPr>
        <b/>
        <sz val="11"/>
        <color theme="1"/>
        <rFont val="Times New Roman"/>
        <charset val="134"/>
      </rPr>
      <t xml:space="preserve"> Wuhan</t>
    </r>
  </si>
  <si>
    <r>
      <rPr>
        <b/>
        <sz val="11"/>
        <color theme="1"/>
        <rFont val="黑体"/>
        <charset val="134"/>
      </rPr>
      <t>重庆</t>
    </r>
    <r>
      <rPr>
        <b/>
        <sz val="11"/>
        <color theme="1"/>
        <rFont val="Times New Roman"/>
        <charset val="134"/>
      </rPr>
      <t xml:space="preserve"> Chongqing</t>
    </r>
  </si>
  <si>
    <r>
      <rPr>
        <b/>
        <sz val="12"/>
        <color theme="1"/>
        <rFont val="Times New Roman"/>
        <charset val="134"/>
      </rPr>
      <t>CN BORDER:Alashankou(</t>
    </r>
    <r>
      <rPr>
        <b/>
        <sz val="12"/>
        <color rgb="FFFF0000"/>
        <rFont val="Times New Roman"/>
        <charset val="134"/>
      </rPr>
      <t>USD</t>
    </r>
    <r>
      <rPr>
        <b/>
        <sz val="12"/>
        <color theme="1"/>
        <rFont val="Times New Roman"/>
        <charset val="134"/>
      </rPr>
      <t>)
Truck Type</t>
    </r>
    <r>
      <rPr>
        <b/>
        <sz val="12"/>
        <color theme="1"/>
        <rFont val="宋体"/>
        <charset val="134"/>
      </rPr>
      <t>：</t>
    </r>
    <r>
      <rPr>
        <b/>
        <sz val="12"/>
        <color theme="1"/>
        <rFont val="Times New Roman"/>
        <charset val="134"/>
      </rPr>
      <t xml:space="preserve">
</t>
    </r>
    <r>
      <rPr>
        <b/>
        <sz val="12"/>
        <color rgb="FFFF0000"/>
        <rFont val="Times New Roman"/>
        <charset val="134"/>
      </rPr>
      <t>Box truck</t>
    </r>
    <r>
      <rPr>
        <b/>
        <sz val="12"/>
        <color rgb="FFFF0000"/>
        <rFont val="宋体"/>
        <charset val="134"/>
      </rPr>
      <t>（</t>
    </r>
    <r>
      <rPr>
        <b/>
        <sz val="12"/>
        <color rgb="FFFF0000"/>
        <rFont val="Times New Roman"/>
        <charset val="134"/>
      </rPr>
      <t>82CBM,22TONS</t>
    </r>
    <r>
      <rPr>
        <b/>
        <sz val="12"/>
        <color rgb="FFFF0000"/>
        <rFont val="宋体"/>
        <charset val="134"/>
      </rPr>
      <t>）</t>
    </r>
    <r>
      <rPr>
        <b/>
        <sz val="12"/>
        <color rgb="FFFF0000"/>
        <rFont val="Times New Roman"/>
        <charset val="134"/>
      </rPr>
      <t xml:space="preserve">
Tilt truck</t>
    </r>
    <r>
      <rPr>
        <b/>
        <sz val="12"/>
        <color rgb="FFFF0000"/>
        <rFont val="宋体"/>
        <charset val="134"/>
      </rPr>
      <t>（</t>
    </r>
    <r>
      <rPr>
        <b/>
        <sz val="12"/>
        <color rgb="FFFF0000"/>
        <rFont val="Times New Roman"/>
        <charset val="134"/>
      </rPr>
      <t>82CBM,22TONS</t>
    </r>
    <r>
      <rPr>
        <b/>
        <sz val="12"/>
        <color rgb="FFFF0000"/>
        <rFont val="宋体"/>
        <charset val="134"/>
      </rPr>
      <t>）</t>
    </r>
  </si>
  <si>
    <r>
      <rPr>
        <b/>
        <sz val="11"/>
        <color theme="1"/>
        <rFont val="黑体"/>
        <charset val="134"/>
      </rPr>
      <t>深圳</t>
    </r>
    <r>
      <rPr>
        <b/>
        <sz val="11"/>
        <color theme="1"/>
        <rFont val="Times New Roman"/>
        <charset val="134"/>
      </rPr>
      <t>/</t>
    </r>
    <r>
      <rPr>
        <b/>
        <sz val="11"/>
        <color theme="1"/>
        <rFont val="黑体"/>
        <charset val="134"/>
      </rPr>
      <t>广州</t>
    </r>
    <r>
      <rPr>
        <b/>
        <sz val="11"/>
        <color theme="1"/>
        <rFont val="Times New Roman"/>
        <charset val="134"/>
      </rPr>
      <t xml:space="preserve"> Shenzhen/Guangzhou</t>
    </r>
  </si>
  <si>
    <t>Manchuria</t>
  </si>
  <si>
    <t>To Moscow
USD/40HQ</t>
  </si>
  <si>
    <t>To St. Petersburg
USD/40HQ</t>
  </si>
  <si>
    <t>To Minsk
USD/40HQ</t>
  </si>
  <si>
    <t>TT/DAY</t>
  </si>
  <si>
    <t>FOB Hanoi Station</t>
  </si>
  <si>
    <t>FOB Hochiminh Station</t>
  </si>
  <si>
    <t>FOB Hai Phong</t>
  </si>
  <si>
    <t>FOB Hochiminh City</t>
  </si>
  <si>
    <t>FOB Singapore</t>
  </si>
  <si>
    <t>FOB Laem Chabang/Bangkok</t>
  </si>
  <si>
    <t>FOB Keelung/Kaohsiung/Taichung</t>
  </si>
  <si>
    <t>FOB Pasir Gudang/Penang/Klang</t>
  </si>
  <si>
    <t>FOB Tokyo/Osaka</t>
  </si>
  <si>
    <t>FOB Colombo</t>
  </si>
  <si>
    <t>FOB Hong Kong</t>
  </si>
  <si>
    <t>FOB Sihanoukville</t>
  </si>
  <si>
    <t>FOB Karachi</t>
  </si>
  <si>
    <t>FOB Manila/Cebu</t>
  </si>
  <si>
    <t>FOB Surabaya/Semarang/Jakarta</t>
  </si>
  <si>
    <t>FOB Busan/Inchon</t>
  </si>
  <si>
    <t>FOB Chittagong/Dhaka</t>
  </si>
  <si>
    <t>Note: The quotation is valid until the end of May 2025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</si>
</sst>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
    <numFmt numFmtId="177" formatCode="0.00_ "/>
    <numFmt numFmtId="178" formatCode="[$-409]d\-mmm;@"/>
  </numFmts>
  <fonts count="59">
    <font>
      <sz val="11"/>
      <color theme="1"/>
      <name val="宋体"/>
      <charset val="134"/>
      <scheme val="minor"/>
    </font>
    <font>
      <sz val="16"/>
      <name val="宋体"/>
      <charset val="134"/>
    </font>
    <font>
      <sz val="14"/>
      <name val="宋体"/>
      <charset val="134"/>
    </font>
    <font>
      <sz val="12"/>
      <name val="宋体"/>
      <charset val="134"/>
    </font>
    <font>
      <b/>
      <sz val="12"/>
      <color rgb="FFFF0000"/>
      <name val="宋体"/>
      <charset val="134"/>
    </font>
    <font>
      <b/>
      <sz val="16"/>
      <color theme="4"/>
      <name val="Times New Roman"/>
      <charset val="134"/>
    </font>
    <font>
      <b/>
      <sz val="16"/>
      <color theme="4"/>
      <name val="黑体"/>
      <charset val="134"/>
    </font>
    <font>
      <b/>
      <sz val="11"/>
      <color theme="1"/>
      <name val="Times New Roman"/>
      <charset val="134"/>
    </font>
    <font>
      <b/>
      <sz val="12"/>
      <color theme="1"/>
      <name val="Times New Roman"/>
      <charset val="134"/>
    </font>
    <font>
      <b/>
      <sz val="12"/>
      <color theme="1"/>
      <name val="黑体"/>
      <charset val="134"/>
    </font>
    <font>
      <b/>
      <sz val="11"/>
      <color theme="1"/>
      <name val="黑体"/>
      <charset val="134"/>
    </font>
    <font>
      <b/>
      <sz val="11"/>
      <color rgb="FFFF0000"/>
      <name val="Times New Roman"/>
      <charset val="134"/>
    </font>
    <font>
      <b/>
      <sz val="11"/>
      <color rgb="FFFF0000"/>
      <name val="宋体"/>
      <charset val="134"/>
    </font>
    <font>
      <b/>
      <sz val="11"/>
      <color theme="0"/>
      <name val="Times New Roman"/>
      <charset val="134"/>
    </font>
    <font>
      <sz val="11"/>
      <name val="宋体"/>
      <charset val="134"/>
      <scheme val="minor"/>
    </font>
    <font>
      <b/>
      <sz val="11"/>
      <color theme="1"/>
      <name val="宋体"/>
      <charset val="134"/>
      <scheme val="minor"/>
    </font>
    <font>
      <b/>
      <sz val="11"/>
      <name val="宋体"/>
      <charset val="134"/>
      <scheme val="minor"/>
    </font>
    <font>
      <b/>
      <sz val="24"/>
      <color theme="1"/>
      <name val="Consolas"/>
      <charset val="134"/>
    </font>
    <font>
      <b/>
      <sz val="14"/>
      <color theme="1"/>
      <name val="Consolas"/>
      <charset val="134"/>
    </font>
    <font>
      <sz val="11"/>
      <color theme="1"/>
      <name val="Consolas"/>
      <charset val="134"/>
    </font>
    <font>
      <sz val="11"/>
      <name val="Consolas"/>
      <charset val="134"/>
    </font>
    <font>
      <sz val="11"/>
      <color theme="1"/>
      <name val="宋体"/>
      <charset val="134"/>
    </font>
    <font>
      <b/>
      <sz val="14"/>
      <color rgb="FF000000"/>
      <name val="宋体"/>
      <charset val="134"/>
      <scheme val="minor"/>
    </font>
    <font>
      <b/>
      <sz val="14"/>
      <color indexed="8"/>
      <name val="宋体"/>
      <charset val="134"/>
      <scheme val="minor"/>
    </font>
    <font>
      <b/>
      <sz val="16"/>
      <color rgb="FFFF0000"/>
      <name val="宋体"/>
      <charset val="134"/>
      <scheme val="minor"/>
    </font>
    <font>
      <b/>
      <sz val="16"/>
      <color indexed="8"/>
      <name val="宋体"/>
      <charset val="134"/>
      <scheme val="minor"/>
    </font>
    <font>
      <sz val="11"/>
      <color indexed="8"/>
      <name val="宋体"/>
      <charset val="134"/>
      <scheme val="minor"/>
    </font>
    <font>
      <sz val="11"/>
      <color rgb="FFFF0000"/>
      <name val="宋体"/>
      <charset val="134"/>
      <scheme val="minor"/>
    </font>
    <font>
      <b/>
      <sz val="14"/>
      <color rgb="FFFF0000"/>
      <name val="宋体"/>
      <charset val="134"/>
      <scheme val="minor"/>
    </font>
    <font>
      <b/>
      <sz val="16"/>
      <color rgb="FF000000"/>
      <name val="宋体"/>
      <charset val="134"/>
      <scheme val="minor"/>
    </font>
    <font>
      <b/>
      <sz val="36"/>
      <name val="宋体"/>
      <charset val="134"/>
      <scheme val="minor"/>
    </font>
    <font>
      <b/>
      <sz val="36"/>
      <color theme="1"/>
      <name val="宋体"/>
      <charset val="134"/>
      <scheme val="minor"/>
    </font>
    <font>
      <b/>
      <sz val="12"/>
      <name val="微软雅黑"/>
      <charset val="134"/>
    </font>
    <font>
      <sz val="10"/>
      <name val="微软雅黑"/>
      <charset val="134"/>
    </font>
    <font>
      <sz val="10"/>
      <color theme="1"/>
      <name val="微软雅黑"/>
      <charset val="134"/>
    </font>
    <font>
      <sz val="1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b/>
      <sz val="12"/>
      <color rgb="FFFF0000"/>
      <name val="Times New Roman"/>
      <charset val="134"/>
    </font>
    <font>
      <b/>
      <sz val="12"/>
      <color theme="1"/>
      <name val="宋体"/>
      <charset val="134"/>
    </font>
    <font>
      <b/>
      <sz val="11"/>
      <color theme="1"/>
      <name val="宋体"/>
      <charset val="134"/>
    </font>
  </fonts>
  <fills count="52">
    <fill>
      <patternFill patternType="none"/>
    </fill>
    <fill>
      <patternFill patternType="gray125"/>
    </fill>
    <fill>
      <patternFill patternType="solid">
        <fgColor rgb="FFFFFF00"/>
        <bgColor indexed="64"/>
      </patternFill>
    </fill>
    <fill>
      <patternFill patternType="solid">
        <fgColor theme="3" tint="0.8"/>
        <bgColor indexed="64"/>
      </patternFill>
    </fill>
    <fill>
      <patternFill patternType="solid">
        <fgColor rgb="FFD6DCE4"/>
        <bgColor indexed="64"/>
      </patternFill>
    </fill>
    <fill>
      <patternFill patternType="solid">
        <fgColor theme="0"/>
        <bgColor indexed="64"/>
      </patternFill>
    </fill>
    <fill>
      <patternFill patternType="solid">
        <fgColor theme="6" tint="0.8"/>
        <bgColor indexed="64"/>
      </patternFill>
    </fill>
    <fill>
      <patternFill patternType="solid">
        <fgColor theme="8" tint="0.8"/>
        <bgColor indexed="64"/>
      </patternFill>
    </fill>
    <fill>
      <patternFill patternType="solid">
        <fgColor rgb="FFD2F4F2"/>
        <bgColor indexed="64"/>
      </patternFill>
    </fill>
    <fill>
      <patternFill patternType="solid">
        <fgColor theme="7" tint="0.8"/>
        <bgColor indexed="64"/>
      </patternFill>
    </fill>
    <fill>
      <patternFill patternType="solid">
        <fgColor theme="9" tint="0.8"/>
        <bgColor indexed="64"/>
      </patternFill>
    </fill>
    <fill>
      <patternFill patternType="solid">
        <fgColor rgb="FFFADADE"/>
        <bgColor indexed="64"/>
      </patternFill>
    </fill>
    <fill>
      <patternFill patternType="solid">
        <fgColor theme="4" tint="0.8"/>
        <bgColor indexed="64"/>
      </patternFill>
    </fill>
    <fill>
      <patternFill patternType="solid">
        <fgColor rgb="FFD9E1F4"/>
        <bgColor indexed="64"/>
      </patternFill>
    </fill>
    <fill>
      <patternFill patternType="solid">
        <fgColor rgb="FFFFF3CA"/>
        <bgColor indexed="64"/>
      </patternFill>
    </fill>
    <fill>
      <patternFill patternType="solid">
        <fgColor rgb="FFD9E1F2"/>
        <bgColor indexed="64"/>
      </patternFill>
    </fill>
    <fill>
      <patternFill patternType="solid">
        <fgColor theme="4" tint="0.799981688894314"/>
        <bgColor indexed="64"/>
      </patternFill>
    </fill>
    <fill>
      <patternFill patternType="solid">
        <fgColor rgb="FF92D050"/>
        <bgColor indexed="64"/>
      </patternFill>
    </fill>
    <fill>
      <patternFill patternType="solid">
        <fgColor theme="5" tint="0.599993896298105"/>
        <bgColor indexed="64"/>
      </patternFill>
    </fill>
    <fill>
      <patternFill patternType="solid">
        <fgColor theme="2" tint="-0.0999786370433668"/>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5" tint="0.8"/>
        <bgColor indexed="64"/>
      </patternFill>
    </fill>
    <fill>
      <patternFill patternType="solid">
        <fgColor theme="3" tint="0.6"/>
        <bgColor indexed="64"/>
      </patternFill>
    </fill>
    <fill>
      <patternFill patternType="solid">
        <fgColor rgb="FF007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8"/>
        <bgColor indexed="64"/>
      </patternFill>
    </fill>
    <fill>
      <patternFill patternType="solid">
        <fgColor theme="8" tint="0.799981688894314"/>
        <bgColor indexed="64"/>
      </patternFill>
    </fill>
    <fill>
      <patternFill patternType="solid">
        <fgColor theme="9"/>
        <bgColor indexed="64"/>
      </patternFill>
    </fill>
    <fill>
      <patternFill patternType="solid">
        <fgColor theme="9" tint="0.799981688894314"/>
        <bgColor indexed="64"/>
      </patternFill>
    </fill>
  </fills>
  <borders count="3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auto="1"/>
      </top>
      <bottom/>
      <diagonal/>
    </border>
    <border>
      <left/>
      <right style="thin">
        <color auto="1"/>
      </right>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30" borderId="24"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25" applyNumberFormat="0" applyFill="0" applyAlignment="0" applyProtection="0">
      <alignment vertical="center"/>
    </xf>
    <xf numFmtId="0" fontId="42" fillId="0" borderId="25" applyNumberFormat="0" applyFill="0" applyAlignment="0" applyProtection="0">
      <alignment vertical="center"/>
    </xf>
    <xf numFmtId="0" fontId="43" fillId="0" borderId="26" applyNumberFormat="0" applyFill="0" applyAlignment="0" applyProtection="0">
      <alignment vertical="center"/>
    </xf>
    <xf numFmtId="0" fontId="43" fillId="0" borderId="0" applyNumberFormat="0" applyFill="0" applyBorder="0" applyAlignment="0" applyProtection="0">
      <alignment vertical="center"/>
    </xf>
    <xf numFmtId="0" fontId="44" fillId="31" borderId="27" applyNumberFormat="0" applyAlignment="0" applyProtection="0">
      <alignment vertical="center"/>
    </xf>
    <xf numFmtId="0" fontId="45" fillId="32" borderId="28" applyNumberFormat="0" applyAlignment="0" applyProtection="0">
      <alignment vertical="center"/>
    </xf>
    <xf numFmtId="0" fontId="46" fillId="32" borderId="27" applyNumberFormat="0" applyAlignment="0" applyProtection="0">
      <alignment vertical="center"/>
    </xf>
    <xf numFmtId="0" fontId="47" fillId="33" borderId="29" applyNumberFormat="0" applyAlignment="0" applyProtection="0">
      <alignment vertical="center"/>
    </xf>
    <xf numFmtId="0" fontId="48" fillId="0" borderId="30" applyNumberFormat="0" applyFill="0" applyAlignment="0" applyProtection="0">
      <alignment vertical="center"/>
    </xf>
    <xf numFmtId="0" fontId="49" fillId="0" borderId="31" applyNumberFormat="0" applyFill="0" applyAlignment="0" applyProtection="0">
      <alignment vertical="center"/>
    </xf>
    <xf numFmtId="0" fontId="50" fillId="34" borderId="0" applyNumberFormat="0" applyBorder="0" applyAlignment="0" applyProtection="0">
      <alignment vertical="center"/>
    </xf>
    <xf numFmtId="0" fontId="51" fillId="35" borderId="0" applyNumberFormat="0" applyBorder="0" applyAlignment="0" applyProtection="0">
      <alignment vertical="center"/>
    </xf>
    <xf numFmtId="0" fontId="52" fillId="36" borderId="0" applyNumberFormat="0" applyBorder="0" applyAlignment="0" applyProtection="0">
      <alignment vertical="center"/>
    </xf>
    <xf numFmtId="0" fontId="53" fillId="37" borderId="0" applyNumberFormat="0" applyBorder="0" applyAlignment="0" applyProtection="0">
      <alignment vertical="center"/>
    </xf>
    <xf numFmtId="0" fontId="54" fillId="16" borderId="0" applyNumberFormat="0" applyBorder="0" applyAlignment="0" applyProtection="0">
      <alignment vertical="center"/>
    </xf>
    <xf numFmtId="0" fontId="54" fillId="38" borderId="0" applyNumberFormat="0" applyBorder="0" applyAlignment="0" applyProtection="0">
      <alignment vertical="center"/>
    </xf>
    <xf numFmtId="0" fontId="53" fillId="39" borderId="0" applyNumberFormat="0" applyBorder="0" applyAlignment="0" applyProtection="0">
      <alignment vertical="center"/>
    </xf>
    <xf numFmtId="0" fontId="53" fillId="40" borderId="0" applyNumberFormat="0" applyBorder="0" applyAlignment="0" applyProtection="0">
      <alignment vertical="center"/>
    </xf>
    <xf numFmtId="0" fontId="54" fillId="26" borderId="0" applyNumberFormat="0" applyBorder="0" applyAlignment="0" applyProtection="0">
      <alignment vertical="center"/>
    </xf>
    <xf numFmtId="0" fontId="54" fillId="18" borderId="0" applyNumberFormat="0" applyBorder="0" applyAlignment="0" applyProtection="0">
      <alignment vertical="center"/>
    </xf>
    <xf numFmtId="0" fontId="53" fillId="41" borderId="0" applyNumberFormat="0" applyBorder="0" applyAlignment="0" applyProtection="0">
      <alignment vertical="center"/>
    </xf>
    <xf numFmtId="0" fontId="53" fillId="42" borderId="0" applyNumberFormat="0" applyBorder="0" applyAlignment="0" applyProtection="0">
      <alignment vertical="center"/>
    </xf>
    <xf numFmtId="0" fontId="54" fillId="43" borderId="0" applyNumberFormat="0" applyBorder="0" applyAlignment="0" applyProtection="0">
      <alignment vertical="center"/>
    </xf>
    <xf numFmtId="0" fontId="54" fillId="44" borderId="0" applyNumberFormat="0" applyBorder="0" applyAlignment="0" applyProtection="0">
      <alignment vertical="center"/>
    </xf>
    <xf numFmtId="0" fontId="53" fillId="45" borderId="0" applyNumberFormat="0" applyBorder="0" applyAlignment="0" applyProtection="0">
      <alignment vertical="center"/>
    </xf>
    <xf numFmtId="0" fontId="53" fillId="46" borderId="0" applyNumberFormat="0" applyBorder="0" applyAlignment="0" applyProtection="0">
      <alignment vertical="center"/>
    </xf>
    <xf numFmtId="0" fontId="54" fillId="47" borderId="0" applyNumberFormat="0" applyBorder="0" applyAlignment="0" applyProtection="0">
      <alignment vertical="center"/>
    </xf>
    <xf numFmtId="0" fontId="54" fillId="20" borderId="0" applyNumberFormat="0" applyBorder="0" applyAlignment="0" applyProtection="0">
      <alignment vertical="center"/>
    </xf>
    <xf numFmtId="0" fontId="53" fillId="23" borderId="0" applyNumberFormat="0" applyBorder="0" applyAlignment="0" applyProtection="0">
      <alignment vertical="center"/>
    </xf>
    <xf numFmtId="0" fontId="53" fillId="48" borderId="0" applyNumberFormat="0" applyBorder="0" applyAlignment="0" applyProtection="0">
      <alignment vertical="center"/>
    </xf>
    <xf numFmtId="0" fontId="54" fillId="49" borderId="0" applyNumberFormat="0" applyBorder="0" applyAlignment="0" applyProtection="0">
      <alignment vertical="center"/>
    </xf>
    <xf numFmtId="0" fontId="54" fillId="22" borderId="0" applyNumberFormat="0" applyBorder="0" applyAlignment="0" applyProtection="0">
      <alignment vertical="center"/>
    </xf>
    <xf numFmtId="0" fontId="53" fillId="24" borderId="0" applyNumberFormat="0" applyBorder="0" applyAlignment="0" applyProtection="0">
      <alignment vertical="center"/>
    </xf>
    <xf numFmtId="0" fontId="53" fillId="50" borderId="0" applyNumberFormat="0" applyBorder="0" applyAlignment="0" applyProtection="0">
      <alignment vertical="center"/>
    </xf>
    <xf numFmtId="0" fontId="54" fillId="51" borderId="0" applyNumberFormat="0" applyBorder="0" applyAlignment="0" applyProtection="0">
      <alignment vertical="center"/>
    </xf>
    <xf numFmtId="0" fontId="54" fillId="25" borderId="0" applyNumberFormat="0" applyBorder="0" applyAlignment="0" applyProtection="0">
      <alignment vertical="center"/>
    </xf>
    <xf numFmtId="0" fontId="53" fillId="21" borderId="0" applyNumberFormat="0" applyBorder="0" applyAlignment="0" applyProtection="0">
      <alignment vertical="center"/>
    </xf>
    <xf numFmtId="176" fontId="55" fillId="0" borderId="0"/>
  </cellStyleXfs>
  <cellXfs count="346">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2"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center" vertical="center"/>
    </xf>
    <xf numFmtId="0" fontId="2" fillId="0" borderId="1" xfId="0" applyFont="1" applyFill="1" applyBorder="1" applyAlignment="1">
      <alignment horizontal="left" vertical="top"/>
    </xf>
    <xf numFmtId="0" fontId="2" fillId="0" borderId="2" xfId="0" applyFont="1" applyFill="1" applyBorder="1" applyAlignment="1">
      <alignment horizontal="left" vertical="top"/>
    </xf>
    <xf numFmtId="0" fontId="2" fillId="0" borderId="3" xfId="0" applyFont="1" applyFill="1" applyBorder="1" applyAlignment="1">
      <alignment horizontal="left" vertical="top"/>
    </xf>
    <xf numFmtId="0" fontId="3" fillId="0" borderId="0" xfId="0" applyFont="1" applyFill="1" applyAlignment="1">
      <alignment vertical="center"/>
    </xf>
    <xf numFmtId="0" fontId="4" fillId="0" borderId="0" xfId="0" applyFont="1" applyFill="1" applyAlignment="1">
      <alignment vertical="center"/>
    </xf>
    <xf numFmtId="0" fontId="1" fillId="2" borderId="4" xfId="0" applyFont="1" applyFill="1" applyBorder="1" applyAlignment="1">
      <alignment horizontal="center" vertical="center"/>
    </xf>
    <xf numFmtId="0" fontId="5"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0" borderId="4" xfId="0" applyFont="1"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9" fillId="0" borderId="4" xfId="0" applyFont="1" applyBorder="1" applyAlignment="1">
      <alignment horizontal="center" vertical="center"/>
    </xf>
    <xf numFmtId="49" fontId="8" fillId="0" borderId="4" xfId="0" applyNumberFormat="1" applyFont="1" applyBorder="1" applyAlignment="1">
      <alignment horizontal="center" vertical="center" wrapText="1"/>
    </xf>
    <xf numFmtId="49" fontId="8" fillId="0" borderId="5" xfId="0" applyNumberFormat="1" applyFont="1" applyBorder="1" applyAlignment="1">
      <alignment horizontal="center" vertical="center" wrapText="1"/>
    </xf>
    <xf numFmtId="0" fontId="10" fillId="3" borderId="4" xfId="0" applyFont="1" applyFill="1" applyBorder="1" applyAlignment="1">
      <alignment horizontal="center" vertical="center" wrapText="1"/>
    </xf>
    <xf numFmtId="0" fontId="7" fillId="3" borderId="4" xfId="0" applyFont="1" applyFill="1" applyBorder="1" applyAlignment="1">
      <alignment horizontal="center" vertical="center"/>
    </xf>
    <xf numFmtId="0" fontId="7" fillId="4" borderId="4" xfId="0" applyFont="1" applyFill="1" applyBorder="1" applyAlignment="1">
      <alignment horizontal="center" vertical="center"/>
    </xf>
    <xf numFmtId="0" fontId="7" fillId="3"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5" borderId="5" xfId="0" applyFont="1" applyFill="1" applyBorder="1" applyAlignment="1">
      <alignment horizontal="center" vertical="center"/>
    </xf>
    <xf numFmtId="0" fontId="8" fillId="5" borderId="4" xfId="0" applyFont="1" applyFill="1" applyBorder="1" applyAlignment="1">
      <alignment horizontal="center" vertical="center"/>
    </xf>
    <xf numFmtId="0" fontId="7" fillId="5" borderId="4" xfId="0" applyFont="1" applyFill="1" applyBorder="1" applyAlignment="1">
      <alignment horizontal="center" vertical="center"/>
    </xf>
    <xf numFmtId="0" fontId="10" fillId="5" borderId="4"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7"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0" borderId="4" xfId="0" applyFont="1" applyBorder="1" applyAlignment="1">
      <alignment horizontal="center" vertical="center" wrapText="1"/>
    </xf>
    <xf numFmtId="0" fontId="10" fillId="0" borderId="4" xfId="0" applyFont="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7" fillId="0" borderId="5" xfId="0" applyFont="1" applyFill="1" applyBorder="1" applyAlignment="1">
      <alignment horizontal="center" vertical="center"/>
    </xf>
    <xf numFmtId="0" fontId="8" fillId="0" borderId="4" xfId="0" applyFont="1" applyFill="1" applyBorder="1" applyAlignment="1">
      <alignment horizontal="center" vertical="center"/>
    </xf>
    <xf numFmtId="0" fontId="7" fillId="5" borderId="1" xfId="0" applyFont="1" applyFill="1" applyBorder="1" applyAlignment="1">
      <alignment horizontal="center" vertical="center"/>
    </xf>
    <xf numFmtId="0" fontId="7" fillId="0" borderId="6" xfId="0" applyFont="1" applyFill="1" applyBorder="1" applyAlignment="1">
      <alignment horizontal="center" vertical="center"/>
    </xf>
    <xf numFmtId="0" fontId="7" fillId="0" borderId="7" xfId="0" applyFont="1" applyFill="1" applyBorder="1" applyAlignment="1">
      <alignment horizontal="center" vertical="center"/>
    </xf>
    <xf numFmtId="0" fontId="7" fillId="5" borderId="8" xfId="0" applyFont="1" applyFill="1" applyBorder="1" applyAlignment="1">
      <alignment horizontal="center" vertical="center"/>
    </xf>
    <xf numFmtId="0" fontId="10" fillId="3" borderId="4" xfId="0" applyFont="1" applyFill="1" applyBorder="1" applyAlignment="1">
      <alignment horizontal="center" vertical="center"/>
    </xf>
    <xf numFmtId="0" fontId="7" fillId="3" borderId="7" xfId="0" applyFont="1" applyFill="1" applyBorder="1" applyAlignment="1">
      <alignment horizontal="center" vertical="center"/>
    </xf>
    <xf numFmtId="0" fontId="11" fillId="0" borderId="4" xfId="0" applyFont="1" applyFill="1" applyBorder="1" applyAlignment="1">
      <alignment horizontal="center" vertical="center"/>
    </xf>
    <xf numFmtId="0" fontId="12" fillId="0" borderId="4" xfId="0" applyFont="1" applyFill="1" applyBorder="1" applyAlignment="1">
      <alignment horizontal="center" vertical="center"/>
    </xf>
    <xf numFmtId="0" fontId="13" fillId="0" borderId="4" xfId="0" applyFont="1" applyFill="1" applyBorder="1" applyAlignment="1">
      <alignment horizontal="center" vertical="center"/>
    </xf>
    <xf numFmtId="0" fontId="7" fillId="0" borderId="4" xfId="0" applyFont="1" applyFill="1" applyBorder="1" applyAlignment="1">
      <alignment horizontal="center" vertical="center"/>
    </xf>
    <xf numFmtId="0" fontId="14" fillId="0" borderId="0" xfId="0" applyFont="1">
      <alignment vertical="center"/>
    </xf>
    <xf numFmtId="0" fontId="0" fillId="0" borderId="0" xfId="0" applyAlignment="1">
      <alignment horizontal="center" vertical="center"/>
    </xf>
    <xf numFmtId="0" fontId="0" fillId="0" borderId="0" xfId="0" applyAlignment="1">
      <alignment vertical="center" wrapText="1"/>
    </xf>
    <xf numFmtId="0" fontId="15" fillId="6" borderId="4"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15" fillId="6" borderId="4" xfId="0" applyFont="1" applyFill="1" applyBorder="1" applyAlignment="1">
      <alignment horizontal="center" vertical="center"/>
    </xf>
    <xf numFmtId="0" fontId="0" fillId="7" borderId="4" xfId="0" applyFill="1" applyBorder="1" applyAlignment="1">
      <alignment horizontal="left" vertical="center"/>
    </xf>
    <xf numFmtId="0" fontId="14" fillId="7" borderId="4" xfId="0" applyFont="1" applyFill="1" applyBorder="1" applyAlignment="1">
      <alignment horizontal="center" vertical="center"/>
    </xf>
    <xf numFmtId="0" fontId="0" fillId="7" borderId="4" xfId="0" applyFill="1" applyBorder="1" applyAlignment="1">
      <alignment horizontal="center" vertical="center"/>
    </xf>
    <xf numFmtId="16" fontId="0" fillId="7" borderId="4" xfId="0" applyNumberFormat="1" applyFill="1" applyBorder="1" applyAlignment="1">
      <alignment horizontal="center" vertical="center" wrapText="1"/>
    </xf>
    <xf numFmtId="0" fontId="0" fillId="7" borderId="4" xfId="0" applyFill="1" applyBorder="1" applyAlignment="1">
      <alignment horizontal="center" vertical="center" wrapText="1"/>
    </xf>
    <xf numFmtId="0" fontId="14" fillId="7" borderId="4" xfId="0" applyFont="1" applyFill="1" applyBorder="1">
      <alignment vertical="center"/>
    </xf>
    <xf numFmtId="0" fontId="0" fillId="7" borderId="4" xfId="0" applyFill="1" applyBorder="1">
      <alignment vertical="center"/>
    </xf>
    <xf numFmtId="0" fontId="0" fillId="7" borderId="4" xfId="0" applyFill="1" applyBorder="1" applyAlignment="1">
      <alignment vertical="center" wrapText="1"/>
    </xf>
    <xf numFmtId="0" fontId="14" fillId="7" borderId="5" xfId="0" applyFont="1" applyFill="1" applyBorder="1" applyAlignment="1">
      <alignment horizontal="center" vertical="center"/>
    </xf>
    <xf numFmtId="0" fontId="0" fillId="7" borderId="5" xfId="0" applyFill="1" applyBorder="1" applyAlignment="1">
      <alignment horizontal="center" vertical="center"/>
    </xf>
    <xf numFmtId="0" fontId="0" fillId="7" borderId="6" xfId="0" applyFill="1" applyBorder="1" applyAlignment="1">
      <alignment horizontal="center" vertical="center" wrapText="1"/>
    </xf>
    <xf numFmtId="0" fontId="14" fillId="7" borderId="6" xfId="0" applyFont="1" applyFill="1" applyBorder="1" applyAlignment="1">
      <alignment horizontal="center" vertical="center"/>
    </xf>
    <xf numFmtId="0" fontId="0" fillId="7" borderId="6" xfId="0" applyFill="1" applyBorder="1" applyAlignment="1">
      <alignment horizontal="center" vertical="center"/>
    </xf>
    <xf numFmtId="0" fontId="14" fillId="7" borderId="7" xfId="0" applyFont="1" applyFill="1" applyBorder="1" applyAlignment="1">
      <alignment horizontal="center" vertical="center"/>
    </xf>
    <xf numFmtId="0" fontId="0" fillId="7" borderId="7" xfId="0" applyFill="1" applyBorder="1" applyAlignment="1">
      <alignment horizontal="center" vertical="center"/>
    </xf>
    <xf numFmtId="0" fontId="0" fillId="7" borderId="7" xfId="0" applyFill="1" applyBorder="1" applyAlignment="1">
      <alignment horizontal="center" vertical="center" wrapText="1"/>
    </xf>
    <xf numFmtId="177" fontId="0" fillId="7" borderId="6" xfId="0" applyNumberFormat="1" applyFill="1" applyBorder="1" applyAlignment="1">
      <alignment horizontal="center" vertical="center"/>
    </xf>
    <xf numFmtId="0" fontId="0" fillId="7" borderId="5" xfId="0" applyFill="1" applyBorder="1" applyAlignment="1">
      <alignment horizontal="center" vertical="center" wrapText="1"/>
    </xf>
    <xf numFmtId="16" fontId="0" fillId="7" borderId="5" xfId="0" applyNumberFormat="1" applyFill="1" applyBorder="1" applyAlignment="1">
      <alignment horizontal="center" vertical="center"/>
    </xf>
    <xf numFmtId="0" fontId="14" fillId="7" borderId="4" xfId="0" applyFont="1" applyFill="1" applyBorder="1" applyAlignment="1">
      <alignment horizontal="center" vertical="center" wrapText="1"/>
    </xf>
    <xf numFmtId="0" fontId="14" fillId="7" borderId="5" xfId="0" applyFont="1" applyFill="1" applyBorder="1" applyAlignment="1">
      <alignment horizontal="center" vertical="center" wrapText="1"/>
    </xf>
    <xf numFmtId="177" fontId="0" fillId="7" borderId="5" xfId="0" applyNumberFormat="1" applyFill="1" applyBorder="1" applyAlignment="1">
      <alignment horizontal="center" vertical="center" wrapText="1"/>
    </xf>
    <xf numFmtId="0" fontId="14" fillId="7" borderId="6" xfId="0" applyFont="1" applyFill="1" applyBorder="1" applyAlignment="1">
      <alignment horizontal="center" vertical="center" wrapText="1"/>
    </xf>
    <xf numFmtId="0" fontId="14" fillId="7" borderId="7" xfId="0" applyFont="1" applyFill="1" applyBorder="1" applyAlignment="1">
      <alignment horizontal="center" vertical="center" wrapText="1"/>
    </xf>
    <xf numFmtId="16" fontId="0" fillId="7" borderId="5" xfId="0" applyNumberFormat="1" applyFill="1" applyBorder="1" applyAlignment="1">
      <alignment horizontal="center" vertical="center" wrapText="1"/>
    </xf>
    <xf numFmtId="0" fontId="14" fillId="7" borderId="7" xfId="0" applyFont="1" applyFill="1" applyBorder="1">
      <alignment vertical="center"/>
    </xf>
    <xf numFmtId="0" fontId="0" fillId="7" borderId="7" xfId="0" applyFill="1" applyBorder="1">
      <alignment vertical="center"/>
    </xf>
    <xf numFmtId="0" fontId="0" fillId="7" borderId="7" xfId="0" applyFill="1" applyBorder="1" applyAlignment="1">
      <alignment vertical="center" wrapText="1"/>
    </xf>
    <xf numFmtId="0" fontId="0" fillId="8" borderId="4" xfId="0" applyFill="1" applyBorder="1" applyAlignment="1">
      <alignment horizontal="left" vertical="center"/>
    </xf>
    <xf numFmtId="0" fontId="14" fillId="8" borderId="6" xfId="0" applyFont="1" applyFill="1" applyBorder="1" applyAlignment="1">
      <alignment horizontal="center" vertical="center"/>
    </xf>
    <xf numFmtId="0" fontId="0" fillId="8" borderId="6" xfId="0" applyFill="1" applyBorder="1" applyAlignment="1">
      <alignment horizontal="center" vertical="center"/>
    </xf>
    <xf numFmtId="0" fontId="14" fillId="8" borderId="7" xfId="0" applyFont="1" applyFill="1" applyBorder="1" applyAlignment="1">
      <alignment horizontal="center" vertical="center"/>
    </xf>
    <xf numFmtId="0" fontId="0" fillId="8" borderId="7" xfId="0" applyFill="1" applyBorder="1" applyAlignment="1">
      <alignment horizontal="center" vertical="center"/>
    </xf>
    <xf numFmtId="0" fontId="14" fillId="8" borderId="7" xfId="0" applyFont="1" applyFill="1" applyBorder="1">
      <alignment vertical="center"/>
    </xf>
    <xf numFmtId="0" fontId="0" fillId="8" borderId="7" xfId="0" applyFill="1" applyBorder="1">
      <alignment vertical="center"/>
    </xf>
    <xf numFmtId="0" fontId="14" fillId="8" borderId="4" xfId="0" applyFont="1" applyFill="1" applyBorder="1">
      <alignment vertical="center"/>
    </xf>
    <xf numFmtId="0" fontId="0" fillId="8" borderId="4" xfId="0" applyFill="1" applyBorder="1">
      <alignment vertical="center"/>
    </xf>
    <xf numFmtId="0" fontId="0" fillId="7" borderId="0" xfId="0" applyFill="1" applyAlignment="1">
      <alignment horizontal="left" vertical="center"/>
    </xf>
    <xf numFmtId="0" fontId="0" fillId="9" borderId="4" xfId="0" applyFill="1" applyBorder="1" applyAlignment="1">
      <alignment horizontal="left" vertical="center"/>
    </xf>
    <xf numFmtId="0" fontId="14" fillId="9" borderId="4" xfId="0" applyFont="1" applyFill="1" applyBorder="1">
      <alignment vertical="center"/>
    </xf>
    <xf numFmtId="0" fontId="0" fillId="9" borderId="4" xfId="0" applyFill="1" applyBorder="1">
      <alignment vertical="center"/>
    </xf>
    <xf numFmtId="0" fontId="0" fillId="9" borderId="4" xfId="0" applyFill="1" applyBorder="1" applyAlignment="1">
      <alignment horizontal="center" vertical="center"/>
    </xf>
    <xf numFmtId="0" fontId="0" fillId="9" borderId="4" xfId="0" applyFill="1" applyBorder="1" applyAlignment="1">
      <alignment vertical="center" wrapText="1"/>
    </xf>
    <xf numFmtId="0" fontId="14" fillId="9" borderId="4" xfId="0" applyFont="1" applyFill="1" applyBorder="1" applyAlignment="1">
      <alignment horizontal="center" vertical="center"/>
    </xf>
    <xf numFmtId="0" fontId="14" fillId="9" borderId="5" xfId="0" applyFont="1" applyFill="1" applyBorder="1" applyAlignment="1">
      <alignment horizontal="center" vertical="center"/>
    </xf>
    <xf numFmtId="0" fontId="0" fillId="9" borderId="5" xfId="0" applyFill="1" applyBorder="1" applyAlignment="1">
      <alignment horizontal="center" vertical="center"/>
    </xf>
    <xf numFmtId="0" fontId="14" fillId="9" borderId="6" xfId="0" applyFont="1" applyFill="1" applyBorder="1" applyAlignment="1">
      <alignment horizontal="center" vertical="center"/>
    </xf>
    <xf numFmtId="0" fontId="0" fillId="9" borderId="6" xfId="0" applyFill="1" applyBorder="1" applyAlignment="1">
      <alignment horizontal="center" vertical="center"/>
    </xf>
    <xf numFmtId="0" fontId="14" fillId="9" borderId="7" xfId="0" applyFont="1" applyFill="1" applyBorder="1" applyAlignment="1">
      <alignment horizontal="center" vertical="center"/>
    </xf>
    <xf numFmtId="0" fontId="0" fillId="9" borderId="7" xfId="0" applyFill="1" applyBorder="1" applyAlignment="1">
      <alignment horizontal="center" vertical="center"/>
    </xf>
    <xf numFmtId="177" fontId="0" fillId="9" borderId="4" xfId="0" applyNumberFormat="1" applyFill="1" applyBorder="1" applyAlignment="1">
      <alignment horizontal="center" vertical="center"/>
    </xf>
    <xf numFmtId="0" fontId="0" fillId="9" borderId="5" xfId="0" applyFill="1" applyBorder="1" applyAlignment="1">
      <alignment horizontal="center" vertical="center" wrapText="1"/>
    </xf>
    <xf numFmtId="0" fontId="0" fillId="9" borderId="6" xfId="0" applyFill="1" applyBorder="1" applyAlignment="1">
      <alignment horizontal="center" vertical="center" wrapText="1"/>
    </xf>
    <xf numFmtId="0" fontId="0" fillId="9" borderId="7" xfId="0" applyFill="1" applyBorder="1" applyAlignment="1">
      <alignment horizontal="center" vertical="center" wrapText="1"/>
    </xf>
    <xf numFmtId="177" fontId="0" fillId="9" borderId="6" xfId="0" applyNumberFormat="1" applyFill="1" applyBorder="1" applyAlignment="1">
      <alignment horizontal="center" vertical="center"/>
    </xf>
    <xf numFmtId="0" fontId="0" fillId="9" borderId="4" xfId="0" applyFill="1" applyBorder="1" applyAlignment="1">
      <alignment horizontal="center" vertical="center" wrapText="1"/>
    </xf>
    <xf numFmtId="0" fontId="0" fillId="10" borderId="4" xfId="0" applyFill="1" applyBorder="1" applyAlignment="1">
      <alignment horizontal="left" vertical="center"/>
    </xf>
    <xf numFmtId="0" fontId="14" fillId="10" borderId="4" xfId="0" applyFont="1" applyFill="1" applyBorder="1">
      <alignment vertical="center"/>
    </xf>
    <xf numFmtId="0" fontId="0" fillId="10" borderId="4" xfId="0" applyFill="1" applyBorder="1" applyAlignment="1">
      <alignment horizontal="center" vertical="center"/>
    </xf>
    <xf numFmtId="0" fontId="0" fillId="10" borderId="4" xfId="0" applyFill="1" applyBorder="1">
      <alignment vertical="center"/>
    </xf>
    <xf numFmtId="0" fontId="0" fillId="10" borderId="4" xfId="0" applyFill="1" applyBorder="1" applyAlignment="1">
      <alignment vertical="center" wrapText="1"/>
    </xf>
    <xf numFmtId="0" fontId="14" fillId="10" borderId="4" xfId="0" applyFont="1" applyFill="1" applyBorder="1" applyAlignment="1">
      <alignment horizontal="center" vertical="center"/>
    </xf>
    <xf numFmtId="0" fontId="0" fillId="10" borderId="4" xfId="0" applyFill="1" applyBorder="1" applyAlignment="1">
      <alignment horizontal="center" vertical="center" wrapText="1"/>
    </xf>
    <xf numFmtId="0" fontId="0" fillId="11" borderId="4" xfId="0" applyFill="1" applyBorder="1" applyAlignment="1">
      <alignment horizontal="left" vertical="center"/>
    </xf>
    <xf numFmtId="0" fontId="14" fillId="11" borderId="4" xfId="0" applyFont="1" applyFill="1" applyBorder="1">
      <alignment vertical="center"/>
    </xf>
    <xf numFmtId="0" fontId="0" fillId="11" borderId="4" xfId="0" applyFill="1" applyBorder="1">
      <alignment vertical="center"/>
    </xf>
    <xf numFmtId="0" fontId="0" fillId="11" borderId="4" xfId="0" applyFill="1" applyBorder="1" applyAlignment="1">
      <alignment horizontal="center" vertical="center"/>
    </xf>
    <xf numFmtId="0" fontId="0" fillId="11" borderId="4" xfId="0" applyFill="1" applyBorder="1" applyAlignment="1">
      <alignment vertical="center"/>
    </xf>
    <xf numFmtId="0" fontId="14" fillId="11" borderId="5" xfId="0" applyFont="1" applyFill="1" applyBorder="1" applyAlignment="1">
      <alignment horizontal="center" vertical="center"/>
    </xf>
    <xf numFmtId="0" fontId="0" fillId="11" borderId="5" xfId="0" applyFill="1" applyBorder="1" applyAlignment="1">
      <alignment horizontal="center" vertical="center"/>
    </xf>
    <xf numFmtId="0" fontId="14" fillId="11" borderId="6" xfId="0" applyFont="1" applyFill="1" applyBorder="1" applyAlignment="1">
      <alignment horizontal="center" vertical="center"/>
    </xf>
    <xf numFmtId="0" fontId="0" fillId="11" borderId="6" xfId="0" applyFill="1" applyBorder="1" applyAlignment="1">
      <alignment horizontal="center" vertical="center"/>
    </xf>
    <xf numFmtId="0" fontId="14" fillId="11" borderId="7" xfId="0" applyFont="1" applyFill="1" applyBorder="1" applyAlignment="1">
      <alignment horizontal="center" vertical="center"/>
    </xf>
    <xf numFmtId="0" fontId="0" fillId="11" borderId="7" xfId="0" applyFill="1" applyBorder="1" applyAlignment="1">
      <alignment horizontal="center" vertical="center"/>
    </xf>
    <xf numFmtId="0" fontId="14" fillId="11" borderId="7" xfId="0" applyFont="1" applyFill="1" applyBorder="1">
      <alignment vertical="center"/>
    </xf>
    <xf numFmtId="0" fontId="0" fillId="11" borderId="7" xfId="0" applyFill="1" applyBorder="1">
      <alignment vertical="center"/>
    </xf>
    <xf numFmtId="0" fontId="0" fillId="11" borderId="7" xfId="0" applyFill="1" applyBorder="1" applyAlignment="1">
      <alignment vertical="center"/>
    </xf>
    <xf numFmtId="0" fontId="0" fillId="10" borderId="7" xfId="0" applyFill="1" applyBorder="1" applyAlignment="1">
      <alignment vertical="center" wrapText="1"/>
    </xf>
    <xf numFmtId="177" fontId="0" fillId="11" borderId="6" xfId="0" applyNumberFormat="1" applyFill="1" applyBorder="1" applyAlignment="1">
      <alignment horizontal="center" vertical="center"/>
    </xf>
    <xf numFmtId="0" fontId="0" fillId="11" borderId="5" xfId="0" applyFill="1" applyBorder="1" applyAlignment="1">
      <alignment horizontal="center" vertical="center" wrapText="1"/>
    </xf>
    <xf numFmtId="0" fontId="0" fillId="12" borderId="4" xfId="0" applyFill="1" applyBorder="1" applyAlignment="1">
      <alignment horizontal="left" vertical="center"/>
    </xf>
    <xf numFmtId="0" fontId="14" fillId="12" borderId="4" xfId="0" applyFont="1" applyFill="1" applyBorder="1">
      <alignment vertical="center"/>
    </xf>
    <xf numFmtId="0" fontId="0" fillId="12" borderId="4" xfId="0" applyFill="1" applyBorder="1">
      <alignment vertical="center"/>
    </xf>
    <xf numFmtId="0" fontId="0" fillId="12" borderId="4" xfId="0" applyFill="1" applyBorder="1" applyAlignment="1">
      <alignment horizontal="center" vertical="center"/>
    </xf>
    <xf numFmtId="0" fontId="0" fillId="13" borderId="4" xfId="0" applyFill="1" applyBorder="1" applyAlignment="1">
      <alignment vertical="center"/>
    </xf>
    <xf numFmtId="0" fontId="0" fillId="13" borderId="4" xfId="0" applyFill="1" applyBorder="1" applyAlignment="1">
      <alignment vertical="center" wrapText="1"/>
    </xf>
    <xf numFmtId="0" fontId="14" fillId="12" borderId="5" xfId="0" applyFont="1" applyFill="1" applyBorder="1" applyAlignment="1">
      <alignment horizontal="center" vertical="center"/>
    </xf>
    <xf numFmtId="0" fontId="0" fillId="12" borderId="5" xfId="0" applyFill="1" applyBorder="1" applyAlignment="1">
      <alignment horizontal="center" vertical="center"/>
    </xf>
    <xf numFmtId="0" fontId="0" fillId="12" borderId="5" xfId="0" applyFill="1" applyBorder="1" applyAlignment="1">
      <alignment horizontal="center" vertical="center" wrapText="1"/>
    </xf>
    <xf numFmtId="0" fontId="14" fillId="12" borderId="6" xfId="0" applyFont="1" applyFill="1" applyBorder="1" applyAlignment="1">
      <alignment horizontal="center" vertical="center"/>
    </xf>
    <xf numFmtId="0" fontId="0" fillId="12" borderId="6" xfId="0" applyFill="1" applyBorder="1" applyAlignment="1">
      <alignment horizontal="center" vertical="center"/>
    </xf>
    <xf numFmtId="0" fontId="0" fillId="12" borderId="6" xfId="0" applyFill="1" applyBorder="1" applyAlignment="1">
      <alignment horizontal="center" vertical="center" wrapText="1"/>
    </xf>
    <xf numFmtId="0" fontId="14" fillId="12" borderId="7" xfId="0" applyFont="1" applyFill="1" applyBorder="1" applyAlignment="1">
      <alignment horizontal="center" vertical="center"/>
    </xf>
    <xf numFmtId="0" fontId="0" fillId="12" borderId="7" xfId="0" applyFill="1" applyBorder="1" applyAlignment="1">
      <alignment horizontal="center" vertical="center"/>
    </xf>
    <xf numFmtId="0" fontId="0" fillId="12" borderId="7" xfId="0" applyFill="1" applyBorder="1" applyAlignment="1">
      <alignment horizontal="center" vertical="center" wrapText="1"/>
    </xf>
    <xf numFmtId="0" fontId="14" fillId="12" borderId="4" xfId="0" applyFont="1" applyFill="1" applyBorder="1" applyAlignment="1">
      <alignment horizontal="center" vertical="center"/>
    </xf>
    <xf numFmtId="0" fontId="0" fillId="13" borderId="7" xfId="0" applyFill="1" applyBorder="1" applyAlignment="1">
      <alignment vertical="center" wrapText="1"/>
    </xf>
    <xf numFmtId="0" fontId="0" fillId="12" borderId="7" xfId="0" applyFill="1" applyBorder="1" applyAlignment="1">
      <alignment vertical="center"/>
    </xf>
    <xf numFmtId="177" fontId="0" fillId="12" borderId="6" xfId="0" applyNumberFormat="1" applyFill="1" applyBorder="1" applyAlignment="1">
      <alignment horizontal="center" vertical="center" wrapText="1"/>
    </xf>
    <xf numFmtId="0" fontId="0" fillId="12" borderId="4" xfId="0" applyFill="1" applyBorder="1" applyAlignment="1">
      <alignment horizontal="center" vertical="center" wrapText="1"/>
    </xf>
    <xf numFmtId="0" fontId="0" fillId="6" borderId="4" xfId="0" applyFill="1" applyBorder="1" applyAlignment="1">
      <alignment horizontal="left" vertical="center"/>
    </xf>
    <xf numFmtId="0" fontId="14" fillId="6" borderId="4" xfId="0" applyFont="1" applyFill="1" applyBorder="1">
      <alignment vertical="center"/>
    </xf>
    <xf numFmtId="0" fontId="0" fillId="6" borderId="4" xfId="0" applyFill="1" applyBorder="1">
      <alignment vertical="center"/>
    </xf>
    <xf numFmtId="0" fontId="0" fillId="6" borderId="4" xfId="0" applyFill="1" applyBorder="1" applyAlignment="1">
      <alignment horizontal="center" vertical="center"/>
    </xf>
    <xf numFmtId="0" fontId="0" fillId="14" borderId="4" xfId="0" applyFill="1" applyBorder="1" applyAlignment="1">
      <alignment vertical="center" wrapText="1"/>
    </xf>
    <xf numFmtId="0" fontId="14" fillId="6" borderId="4" xfId="0" applyFont="1" applyFill="1" applyBorder="1" applyAlignment="1">
      <alignment horizontal="center" vertical="center"/>
    </xf>
    <xf numFmtId="0" fontId="0" fillId="14" borderId="4" xfId="0" applyFill="1" applyBorder="1" applyAlignment="1">
      <alignment horizontal="center" vertical="center" wrapText="1"/>
    </xf>
    <xf numFmtId="0" fontId="0" fillId="14" borderId="4" xfId="0" applyFill="1" applyBorder="1" applyAlignment="1">
      <alignment horizontal="center" vertical="center"/>
    </xf>
    <xf numFmtId="0" fontId="14" fillId="6" borderId="5" xfId="0" applyFont="1" applyFill="1" applyBorder="1" applyAlignment="1">
      <alignment horizontal="center" vertical="center"/>
    </xf>
    <xf numFmtId="0" fontId="0" fillId="6" borderId="5" xfId="0" applyFill="1" applyBorder="1" applyAlignment="1">
      <alignment horizontal="center" vertical="center"/>
    </xf>
    <xf numFmtId="0" fontId="14" fillId="6" borderId="6" xfId="0" applyFont="1" applyFill="1" applyBorder="1" applyAlignment="1">
      <alignment horizontal="center" vertical="center"/>
    </xf>
    <xf numFmtId="0" fontId="0" fillId="6" borderId="6" xfId="0" applyFill="1" applyBorder="1" applyAlignment="1">
      <alignment horizontal="center" vertical="center"/>
    </xf>
    <xf numFmtId="0" fontId="14" fillId="6" borderId="7" xfId="0" applyFont="1" applyFill="1" applyBorder="1" applyAlignment="1">
      <alignment horizontal="center" vertical="center"/>
    </xf>
    <xf numFmtId="0" fontId="0" fillId="6" borderId="7" xfId="0" applyFill="1" applyBorder="1" applyAlignment="1">
      <alignment horizontal="center" vertical="center"/>
    </xf>
    <xf numFmtId="0" fontId="14" fillId="6" borderId="7" xfId="0" applyFont="1" applyFill="1" applyBorder="1">
      <alignment vertical="center"/>
    </xf>
    <xf numFmtId="0" fontId="0" fillId="6" borderId="7" xfId="0" applyFill="1" applyBorder="1">
      <alignment vertical="center"/>
    </xf>
    <xf numFmtId="0" fontId="0" fillId="14" borderId="5" xfId="0" applyFill="1" applyBorder="1" applyAlignment="1">
      <alignment horizontal="center" vertical="center" wrapText="1"/>
    </xf>
    <xf numFmtId="0" fontId="0" fillId="14" borderId="6" xfId="0" applyFill="1" applyBorder="1" applyAlignment="1">
      <alignment horizontal="center" vertical="center" wrapText="1"/>
    </xf>
    <xf numFmtId="0" fontId="0" fillId="14" borderId="7" xfId="0" applyFill="1" applyBorder="1" applyAlignment="1">
      <alignment horizontal="center" vertical="center" wrapText="1"/>
    </xf>
    <xf numFmtId="177" fontId="0" fillId="6" borderId="6" xfId="0" applyNumberFormat="1" applyFill="1" applyBorder="1" applyAlignment="1">
      <alignment horizontal="center" vertical="center"/>
    </xf>
    <xf numFmtId="177" fontId="0" fillId="6" borderId="4" xfId="0" applyNumberFormat="1" applyFill="1" applyBorder="1" applyAlignment="1">
      <alignment horizontal="center" vertical="center"/>
    </xf>
    <xf numFmtId="0" fontId="0" fillId="0" borderId="0" xfId="0" applyAlignment="1">
      <alignment vertical="center"/>
    </xf>
    <xf numFmtId="178" fontId="17" fillId="15" borderId="10" xfId="0" applyNumberFormat="1" applyFont="1" applyFill="1" applyBorder="1" applyAlignment="1">
      <alignment vertical="center"/>
    </xf>
    <xf numFmtId="178" fontId="17" fillId="15" borderId="11" xfId="0" applyNumberFormat="1" applyFont="1" applyFill="1" applyBorder="1" applyAlignment="1">
      <alignment vertical="center"/>
    </xf>
    <xf numFmtId="178" fontId="17" fillId="15" borderId="12" xfId="0" applyNumberFormat="1" applyFont="1" applyFill="1" applyBorder="1" applyAlignment="1">
      <alignment vertical="center"/>
    </xf>
    <xf numFmtId="178" fontId="18" fillId="16" borderId="5" xfId="0" applyNumberFormat="1" applyFont="1" applyFill="1" applyBorder="1" applyAlignment="1">
      <alignment horizontal="center" vertical="center" wrapText="1"/>
    </xf>
    <xf numFmtId="178" fontId="18" fillId="16" borderId="4" xfId="0" applyNumberFormat="1" applyFont="1" applyFill="1" applyBorder="1" applyAlignment="1">
      <alignment vertical="center" wrapText="1"/>
    </xf>
    <xf numFmtId="178" fontId="18" fillId="16" borderId="4" xfId="0" applyNumberFormat="1" applyFont="1" applyFill="1" applyBorder="1" applyAlignment="1">
      <alignment horizontal="left" vertical="center" wrapText="1"/>
    </xf>
    <xf numFmtId="178" fontId="18" fillId="16" borderId="4" xfId="0" applyNumberFormat="1" applyFont="1" applyFill="1" applyBorder="1" applyAlignment="1">
      <alignment horizontal="center" vertical="center" wrapText="1"/>
    </xf>
    <xf numFmtId="178" fontId="19" fillId="17" borderId="4" xfId="0" applyNumberFormat="1" applyFont="1" applyFill="1" applyBorder="1" applyAlignment="1">
      <alignment horizontal="center" vertical="center" wrapText="1"/>
    </xf>
    <xf numFmtId="178" fontId="19" fillId="17" borderId="4" xfId="0" applyNumberFormat="1" applyFont="1" applyFill="1" applyBorder="1" applyAlignment="1">
      <alignment vertical="center" wrapText="1"/>
    </xf>
    <xf numFmtId="178" fontId="19" fillId="17" borderId="4" xfId="0" applyNumberFormat="1" applyFont="1" applyFill="1" applyBorder="1" applyAlignment="1">
      <alignment horizontal="left" vertical="center" wrapText="1"/>
    </xf>
    <xf numFmtId="0" fontId="20" fillId="17" borderId="4" xfId="0" applyNumberFormat="1" applyFont="1" applyFill="1" applyBorder="1" applyAlignment="1">
      <alignment horizontal="center" vertical="center" wrapText="1"/>
    </xf>
    <xf numFmtId="178" fontId="19" fillId="18" borderId="4" xfId="0" applyNumberFormat="1" applyFont="1" applyFill="1" applyBorder="1" applyAlignment="1">
      <alignment horizontal="center" vertical="center" wrapText="1"/>
    </xf>
    <xf numFmtId="178" fontId="19" fillId="18" borderId="7" xfId="0" applyNumberFormat="1" applyFont="1" applyFill="1" applyBorder="1" applyAlignment="1">
      <alignment vertical="center" wrapText="1"/>
    </xf>
    <xf numFmtId="0" fontId="19" fillId="18" borderId="7" xfId="0" applyFont="1" applyFill="1" applyBorder="1" applyAlignment="1">
      <alignment horizontal="left" vertical="center"/>
    </xf>
    <xf numFmtId="0" fontId="20" fillId="18" borderId="4" xfId="0" applyFont="1" applyFill="1" applyBorder="1" applyAlignment="1">
      <alignment horizontal="center" vertical="center"/>
    </xf>
    <xf numFmtId="16" fontId="19" fillId="18" borderId="4" xfId="0" applyNumberFormat="1" applyFont="1" applyFill="1" applyBorder="1" applyAlignment="1">
      <alignment horizontal="center" vertical="center"/>
    </xf>
    <xf numFmtId="178" fontId="19" fillId="18" borderId="4" xfId="0" applyNumberFormat="1" applyFont="1" applyFill="1" applyBorder="1" applyAlignment="1">
      <alignment vertical="center" wrapText="1"/>
    </xf>
    <xf numFmtId="0" fontId="20" fillId="18" borderId="4" xfId="0" applyFont="1" applyFill="1" applyBorder="1" applyAlignment="1">
      <alignment horizontal="left" vertical="center"/>
    </xf>
    <xf numFmtId="178" fontId="19" fillId="19" borderId="4" xfId="0" applyNumberFormat="1" applyFont="1" applyFill="1" applyBorder="1" applyAlignment="1">
      <alignment horizontal="center" vertical="center" wrapText="1"/>
    </xf>
    <xf numFmtId="178" fontId="19" fillId="19" borderId="4" xfId="0" applyNumberFormat="1" applyFont="1" applyFill="1" applyBorder="1" applyAlignment="1">
      <alignment vertical="center" wrapText="1"/>
    </xf>
    <xf numFmtId="0" fontId="19" fillId="19" borderId="4" xfId="0" applyFont="1" applyFill="1" applyBorder="1" applyAlignment="1">
      <alignment horizontal="left" vertical="center"/>
    </xf>
    <xf numFmtId="0" fontId="20" fillId="19" borderId="4" xfId="0" applyFont="1" applyFill="1" applyBorder="1" applyAlignment="1">
      <alignment horizontal="center" vertical="center"/>
    </xf>
    <xf numFmtId="16" fontId="19" fillId="19" borderId="4" xfId="0" applyNumberFormat="1" applyFont="1" applyFill="1" applyBorder="1" applyAlignment="1">
      <alignment horizontal="center" vertical="center"/>
    </xf>
    <xf numFmtId="0" fontId="20" fillId="19" borderId="4" xfId="0" applyFont="1" applyFill="1" applyBorder="1" applyAlignment="1">
      <alignment horizontal="left" vertical="center"/>
    </xf>
    <xf numFmtId="178" fontId="19" fillId="20" borderId="13" xfId="0" applyNumberFormat="1" applyFont="1" applyFill="1" applyBorder="1" applyAlignment="1">
      <alignment horizontal="center" vertical="center" wrapText="1"/>
    </xf>
    <xf numFmtId="178" fontId="19" fillId="20" borderId="14" xfId="0" applyNumberFormat="1" applyFont="1" applyFill="1" applyBorder="1" applyAlignment="1">
      <alignment vertical="center" wrapText="1"/>
    </xf>
    <xf numFmtId="0" fontId="19" fillId="20" borderId="7" xfId="0" applyFont="1" applyFill="1" applyBorder="1" applyAlignment="1">
      <alignment horizontal="left" vertical="center"/>
    </xf>
    <xf numFmtId="0" fontId="20" fillId="20" borderId="4" xfId="0" applyFont="1" applyFill="1" applyBorder="1" applyAlignment="1">
      <alignment horizontal="center" vertical="center"/>
    </xf>
    <xf numFmtId="16" fontId="19" fillId="20" borderId="7" xfId="0" applyNumberFormat="1" applyFont="1" applyFill="1" applyBorder="1" applyAlignment="1">
      <alignment horizontal="center" vertical="center"/>
    </xf>
    <xf numFmtId="178" fontId="19" fillId="20" borderId="0" xfId="0" applyNumberFormat="1" applyFont="1" applyFill="1" applyAlignment="1">
      <alignment horizontal="center" vertical="center" wrapText="1"/>
    </xf>
    <xf numFmtId="178" fontId="20" fillId="20" borderId="3" xfId="0" applyNumberFormat="1" applyFont="1" applyFill="1" applyBorder="1" applyAlignment="1">
      <alignment vertical="center" wrapText="1"/>
    </xf>
    <xf numFmtId="0" fontId="20" fillId="20" borderId="4" xfId="0" applyFont="1" applyFill="1" applyBorder="1" applyAlignment="1">
      <alignment horizontal="left" vertical="center" wrapText="1"/>
    </xf>
    <xf numFmtId="16" fontId="20" fillId="20" borderId="4" xfId="0" applyNumberFormat="1" applyFont="1" applyFill="1" applyBorder="1" applyAlignment="1">
      <alignment horizontal="center" vertical="center"/>
    </xf>
    <xf numFmtId="178" fontId="20" fillId="20" borderId="8" xfId="0" applyNumberFormat="1" applyFont="1" applyFill="1" applyBorder="1" applyAlignment="1">
      <alignment vertical="center" wrapText="1"/>
    </xf>
    <xf numFmtId="178" fontId="19" fillId="21" borderId="4" xfId="0" applyNumberFormat="1" applyFont="1" applyFill="1" applyBorder="1" applyAlignment="1">
      <alignment horizontal="center" vertical="center" wrapText="1"/>
    </xf>
    <xf numFmtId="178" fontId="19" fillId="21" borderId="5" xfId="0" applyNumberFormat="1" applyFont="1" applyFill="1" applyBorder="1" applyAlignment="1">
      <alignment vertical="center" wrapText="1"/>
    </xf>
    <xf numFmtId="0" fontId="19" fillId="21" borderId="4" xfId="0" applyFont="1" applyFill="1" applyBorder="1" applyAlignment="1">
      <alignment horizontal="left" vertical="center" wrapText="1"/>
    </xf>
    <xf numFmtId="0" fontId="20" fillId="21" borderId="1" xfId="0" applyFont="1" applyFill="1" applyBorder="1" applyAlignment="1">
      <alignment horizontal="center" vertical="center"/>
    </xf>
    <xf numFmtId="16" fontId="19" fillId="21" borderId="4" xfId="0" applyNumberFormat="1" applyFont="1" applyFill="1" applyBorder="1" applyAlignment="1">
      <alignment horizontal="center" vertical="center"/>
    </xf>
    <xf numFmtId="0" fontId="20" fillId="21" borderId="4" xfId="0" applyFont="1" applyFill="1" applyBorder="1" applyAlignment="1">
      <alignment horizontal="left" vertical="center" wrapText="1"/>
    </xf>
    <xf numFmtId="178" fontId="19" fillId="21" borderId="4" xfId="0" applyNumberFormat="1" applyFont="1" applyFill="1" applyBorder="1" applyAlignment="1">
      <alignment vertical="center" wrapText="1"/>
    </xf>
    <xf numFmtId="0" fontId="19" fillId="21" borderId="4" xfId="0" applyFont="1" applyFill="1" applyBorder="1" applyAlignment="1">
      <alignment horizontal="left" vertical="center"/>
    </xf>
    <xf numFmtId="178" fontId="19" fillId="22" borderId="4" xfId="0" applyNumberFormat="1" applyFont="1" applyFill="1" applyBorder="1" applyAlignment="1">
      <alignment horizontal="center" vertical="center" wrapText="1"/>
    </xf>
    <xf numFmtId="178" fontId="19" fillId="22" borderId="4" xfId="0" applyNumberFormat="1" applyFont="1" applyFill="1" applyBorder="1" applyAlignment="1">
      <alignment vertical="center" wrapText="1"/>
    </xf>
    <xf numFmtId="0" fontId="19" fillId="22" borderId="4" xfId="0" applyFont="1" applyFill="1" applyBorder="1" applyAlignment="1">
      <alignment horizontal="left" vertical="center"/>
    </xf>
    <xf numFmtId="0" fontId="20" fillId="22" borderId="4" xfId="0" applyFont="1" applyFill="1" applyBorder="1" applyAlignment="1">
      <alignment horizontal="center" vertical="center"/>
    </xf>
    <xf numFmtId="16" fontId="19" fillId="22" borderId="4" xfId="0" applyNumberFormat="1" applyFont="1" applyFill="1" applyBorder="1" applyAlignment="1">
      <alignment horizontal="center" vertical="center"/>
    </xf>
    <xf numFmtId="178" fontId="21" fillId="23" borderId="4" xfId="0" applyNumberFormat="1" applyFont="1" applyFill="1" applyBorder="1" applyAlignment="1">
      <alignment horizontal="center" vertical="center" wrapText="1"/>
    </xf>
    <xf numFmtId="178" fontId="19" fillId="23" borderId="3" xfId="0" applyNumberFormat="1" applyFont="1" applyFill="1" applyBorder="1" applyAlignment="1">
      <alignment vertical="center" wrapText="1"/>
    </xf>
    <xf numFmtId="0" fontId="20" fillId="23" borderId="15" xfId="0" applyFont="1" applyFill="1" applyBorder="1" applyAlignment="1">
      <alignment horizontal="left" vertical="center"/>
    </xf>
    <xf numFmtId="0" fontId="20" fillId="23" borderId="4" xfId="0" applyFont="1" applyFill="1" applyBorder="1" applyAlignment="1">
      <alignment horizontal="center" vertical="center"/>
    </xf>
    <xf numFmtId="16" fontId="19" fillId="23" borderId="16" xfId="0" applyNumberFormat="1" applyFont="1" applyFill="1" applyBorder="1" applyAlignment="1">
      <alignment horizontal="center" vertical="center"/>
    </xf>
    <xf numFmtId="0" fontId="19" fillId="23" borderId="15" xfId="0" applyFont="1" applyFill="1" applyBorder="1" applyAlignment="1">
      <alignment horizontal="left" vertical="center" wrapText="1"/>
    </xf>
    <xf numFmtId="178" fontId="19" fillId="23" borderId="8" xfId="0" applyNumberFormat="1" applyFont="1" applyFill="1" applyBorder="1" applyAlignment="1">
      <alignment vertical="center" wrapText="1"/>
    </xf>
    <xf numFmtId="0" fontId="19" fillId="23" borderId="12" xfId="0" applyFont="1" applyFill="1" applyBorder="1" applyAlignment="1">
      <alignment horizontal="left" vertical="center" wrapText="1"/>
    </xf>
    <xf numFmtId="178" fontId="19" fillId="23" borderId="4" xfId="0" applyNumberFormat="1" applyFont="1" applyFill="1" applyBorder="1" applyAlignment="1">
      <alignment vertical="center" wrapText="1"/>
    </xf>
    <xf numFmtId="0" fontId="19" fillId="23" borderId="4" xfId="0" applyFont="1" applyFill="1" applyBorder="1" applyAlignment="1">
      <alignment horizontal="left" vertical="center" wrapText="1"/>
    </xf>
    <xf numFmtId="16" fontId="19" fillId="23" borderId="17" xfId="0" applyNumberFormat="1" applyFont="1" applyFill="1" applyBorder="1" applyAlignment="1">
      <alignment horizontal="center" vertical="center"/>
    </xf>
    <xf numFmtId="178" fontId="19" fillId="24" borderId="4" xfId="0" applyNumberFormat="1" applyFont="1" applyFill="1" applyBorder="1" applyAlignment="1">
      <alignment horizontal="center" vertical="center" wrapText="1"/>
    </xf>
    <xf numFmtId="178" fontId="19" fillId="24" borderId="5" xfId="0" applyNumberFormat="1" applyFont="1" applyFill="1" applyBorder="1" applyAlignment="1">
      <alignment vertical="center" wrapText="1"/>
    </xf>
    <xf numFmtId="0" fontId="19" fillId="24" borderId="5" xfId="0" applyFont="1" applyFill="1" applyBorder="1" applyAlignment="1">
      <alignment horizontal="left" vertical="center" wrapText="1"/>
    </xf>
    <xf numFmtId="0" fontId="20" fillId="24" borderId="4" xfId="0" applyFont="1" applyFill="1" applyBorder="1" applyAlignment="1">
      <alignment horizontal="center" vertical="center"/>
    </xf>
    <xf numFmtId="16" fontId="19" fillId="24" borderId="5" xfId="0" applyNumberFormat="1" applyFont="1" applyFill="1" applyBorder="1" applyAlignment="1">
      <alignment horizontal="center" vertical="center"/>
    </xf>
    <xf numFmtId="178" fontId="19" fillId="24" borderId="4" xfId="0" applyNumberFormat="1" applyFont="1" applyFill="1" applyBorder="1" applyAlignment="1">
      <alignment vertical="center" wrapText="1"/>
    </xf>
    <xf numFmtId="0" fontId="19" fillId="24" borderId="4" xfId="0" applyFont="1" applyFill="1" applyBorder="1" applyAlignment="1">
      <alignment horizontal="left" vertical="center" wrapText="1"/>
    </xf>
    <xf numFmtId="16" fontId="19" fillId="24" borderId="4" xfId="0" applyNumberFormat="1" applyFont="1" applyFill="1" applyBorder="1" applyAlignment="1">
      <alignment horizontal="center" vertical="center"/>
    </xf>
    <xf numFmtId="0" fontId="20" fillId="24" borderId="4" xfId="0" applyFont="1" applyFill="1" applyBorder="1" applyAlignment="1">
      <alignment horizontal="left" vertical="center"/>
    </xf>
    <xf numFmtId="178" fontId="21" fillId="25" borderId="4" xfId="0" applyNumberFormat="1" applyFont="1" applyFill="1" applyBorder="1" applyAlignment="1">
      <alignment horizontal="center" vertical="center" wrapText="1"/>
    </xf>
    <xf numFmtId="178" fontId="19" fillId="25" borderId="4" xfId="0" applyNumberFormat="1" applyFont="1" applyFill="1" applyBorder="1" applyAlignment="1">
      <alignment vertical="center" wrapText="1"/>
    </xf>
    <xf numFmtId="0" fontId="19" fillId="25" borderId="4" xfId="0" applyFont="1" applyFill="1" applyBorder="1" applyAlignment="1">
      <alignment horizontal="left" vertical="center"/>
    </xf>
    <xf numFmtId="0" fontId="20" fillId="25" borderId="4" xfId="0" applyFont="1" applyFill="1" applyBorder="1" applyAlignment="1">
      <alignment horizontal="center" vertical="center"/>
    </xf>
    <xf numFmtId="16" fontId="19" fillId="25" borderId="4" xfId="0" applyNumberFormat="1" applyFont="1" applyFill="1" applyBorder="1" applyAlignment="1">
      <alignment horizontal="center" vertical="center"/>
    </xf>
    <xf numFmtId="16" fontId="20" fillId="25" borderId="4" xfId="0" applyNumberFormat="1" applyFont="1" applyFill="1" applyBorder="1" applyAlignment="1">
      <alignment horizontal="center" vertical="center"/>
    </xf>
    <xf numFmtId="178" fontId="19" fillId="25" borderId="7" xfId="0" applyNumberFormat="1" applyFont="1" applyFill="1" applyBorder="1" applyAlignment="1">
      <alignment vertical="center" wrapText="1"/>
    </xf>
    <xf numFmtId="0" fontId="19" fillId="25" borderId="7" xfId="0" applyFont="1" applyFill="1" applyBorder="1" applyAlignment="1">
      <alignment horizontal="left" vertical="center"/>
    </xf>
    <xf numFmtId="0" fontId="19" fillId="25" borderId="4" xfId="0" applyFont="1" applyFill="1" applyBorder="1" applyAlignment="1">
      <alignment horizontal="left" vertical="center" wrapText="1"/>
    </xf>
    <xf numFmtId="16" fontId="19" fillId="25" borderId="17" xfId="0" applyNumberFormat="1" applyFont="1" applyFill="1" applyBorder="1" applyAlignment="1">
      <alignment horizontal="center" vertical="center"/>
    </xf>
    <xf numFmtId="16" fontId="20" fillId="25" borderId="17" xfId="0" applyNumberFormat="1" applyFont="1" applyFill="1" applyBorder="1" applyAlignment="1">
      <alignment horizontal="center" vertical="center"/>
    </xf>
    <xf numFmtId="16" fontId="19" fillId="25" borderId="5" xfId="0" applyNumberFormat="1" applyFont="1" applyFill="1" applyBorder="1" applyAlignment="1">
      <alignment horizontal="center" vertical="center"/>
    </xf>
    <xf numFmtId="178" fontId="19" fillId="26" borderId="5" xfId="0" applyNumberFormat="1" applyFont="1" applyFill="1" applyBorder="1" applyAlignment="1">
      <alignment horizontal="center" vertical="center" wrapText="1"/>
    </xf>
    <xf numFmtId="178" fontId="19" fillId="26" borderId="4" xfId="0" applyNumberFormat="1" applyFont="1" applyFill="1" applyBorder="1" applyAlignment="1">
      <alignment vertical="center" wrapText="1"/>
    </xf>
    <xf numFmtId="0" fontId="19" fillId="26" borderId="4" xfId="0" applyFont="1" applyFill="1" applyBorder="1" applyAlignment="1">
      <alignment horizontal="left" vertical="center"/>
    </xf>
    <xf numFmtId="0" fontId="20" fillId="26" borderId="4" xfId="0" applyFont="1" applyFill="1" applyBorder="1" applyAlignment="1">
      <alignment horizontal="center" vertical="center"/>
    </xf>
    <xf numFmtId="16" fontId="19" fillId="26" borderId="4" xfId="0" applyNumberFormat="1" applyFont="1" applyFill="1" applyBorder="1" applyAlignment="1">
      <alignment horizontal="center" vertical="center"/>
    </xf>
    <xf numFmtId="178" fontId="19" fillId="26" borderId="6" xfId="0" applyNumberFormat="1" applyFont="1" applyFill="1" applyBorder="1" applyAlignment="1">
      <alignment horizontal="center" vertical="center" wrapText="1"/>
    </xf>
    <xf numFmtId="178" fontId="19" fillId="26" borderId="14" xfId="0" applyNumberFormat="1" applyFont="1" applyFill="1" applyBorder="1" applyAlignment="1">
      <alignment vertical="center" wrapText="1"/>
    </xf>
    <xf numFmtId="0" fontId="19" fillId="26" borderId="7" xfId="0" applyFont="1" applyFill="1" applyBorder="1" applyAlignment="1">
      <alignment horizontal="left" vertical="center"/>
    </xf>
    <xf numFmtId="178" fontId="19" fillId="26" borderId="3" xfId="0" applyNumberFormat="1" applyFont="1" applyFill="1" applyBorder="1" applyAlignment="1">
      <alignment vertical="center" wrapText="1"/>
    </xf>
    <xf numFmtId="0" fontId="20" fillId="26" borderId="4" xfId="0" applyFont="1" applyFill="1" applyBorder="1" applyAlignment="1">
      <alignment horizontal="left" vertical="center" wrapText="1"/>
    </xf>
    <xf numFmtId="16" fontId="20" fillId="26" borderId="4" xfId="0" applyNumberFormat="1" applyFont="1" applyFill="1" applyBorder="1" applyAlignment="1">
      <alignment horizontal="center" vertical="center"/>
    </xf>
    <xf numFmtId="178" fontId="19" fillId="23" borderId="5" xfId="0" applyNumberFormat="1" applyFont="1" applyFill="1" applyBorder="1" applyAlignment="1">
      <alignment horizontal="center" vertical="center" wrapText="1"/>
    </xf>
    <xf numFmtId="0" fontId="19" fillId="23" borderId="4" xfId="0" applyFont="1" applyFill="1" applyBorder="1" applyAlignment="1">
      <alignment horizontal="left" vertical="center"/>
    </xf>
    <xf numFmtId="16" fontId="19" fillId="23" borderId="4" xfId="0" applyNumberFormat="1" applyFont="1" applyFill="1" applyBorder="1" applyAlignment="1">
      <alignment horizontal="center" vertical="center"/>
    </xf>
    <xf numFmtId="178" fontId="19" fillId="23" borderId="6" xfId="0" applyNumberFormat="1" applyFont="1" applyFill="1" applyBorder="1" applyAlignment="1">
      <alignment horizontal="center" vertical="center" wrapText="1"/>
    </xf>
    <xf numFmtId="0" fontId="20" fillId="23" borderId="4" xfId="0" applyFont="1" applyFill="1" applyBorder="1" applyAlignment="1">
      <alignment horizontal="left" vertical="center"/>
    </xf>
    <xf numFmtId="0" fontId="18" fillId="0" borderId="5" xfId="0" applyFont="1" applyFill="1" applyBorder="1" applyAlignment="1">
      <alignment horizontal="center" vertical="center" wrapText="1"/>
    </xf>
    <xf numFmtId="0" fontId="22" fillId="0" borderId="18" xfId="0" applyFont="1" applyFill="1" applyBorder="1" applyAlignment="1">
      <alignment horizontal="left" vertical="center" wrapText="1"/>
    </xf>
    <xf numFmtId="0" fontId="23" fillId="0" borderId="13" xfId="0" applyFont="1" applyFill="1" applyBorder="1" applyAlignment="1">
      <alignment horizontal="left" vertical="center" wrapText="1"/>
    </xf>
    <xf numFmtId="0" fontId="23" fillId="0" borderId="8" xfId="0" applyFont="1" applyFill="1" applyBorder="1" applyAlignment="1">
      <alignment horizontal="left" vertical="center" wrapText="1"/>
    </xf>
    <xf numFmtId="0" fontId="18" fillId="0" borderId="7" xfId="0" applyFont="1" applyFill="1" applyBorder="1" applyAlignment="1">
      <alignment horizontal="center" vertical="center" wrapText="1"/>
    </xf>
    <xf numFmtId="0" fontId="23" fillId="0" borderId="19" xfId="0" applyFont="1" applyFill="1" applyBorder="1" applyAlignment="1">
      <alignment horizontal="left" vertical="center" wrapText="1"/>
    </xf>
    <xf numFmtId="0" fontId="23" fillId="0" borderId="20" xfId="0" applyFont="1" applyFill="1" applyBorder="1" applyAlignment="1">
      <alignment horizontal="left" vertical="center" wrapText="1"/>
    </xf>
    <xf numFmtId="0" fontId="23" fillId="0" borderId="14" xfId="0" applyFont="1" applyFill="1" applyBorder="1" applyAlignment="1">
      <alignment horizontal="left" vertical="center" wrapText="1"/>
    </xf>
    <xf numFmtId="0" fontId="24" fillId="0" borderId="4" xfId="0" applyFont="1" applyFill="1" applyBorder="1" applyAlignment="1">
      <alignment horizontal="center" vertical="center"/>
    </xf>
    <xf numFmtId="0" fontId="25" fillId="0" borderId="4" xfId="0" applyFont="1" applyFill="1" applyBorder="1" applyAlignment="1">
      <alignment horizontal="left" vertical="center"/>
    </xf>
    <xf numFmtId="178" fontId="17" fillId="15" borderId="10" xfId="0" applyNumberFormat="1" applyFont="1" applyFill="1" applyBorder="1" applyAlignment="1">
      <alignment horizontal="left" vertical="center"/>
    </xf>
    <xf numFmtId="178" fontId="17" fillId="15" borderId="11" xfId="0" applyNumberFormat="1" applyFont="1" applyFill="1" applyBorder="1" applyAlignment="1">
      <alignment horizontal="left" vertical="center"/>
    </xf>
    <xf numFmtId="178" fontId="17" fillId="15" borderId="12" xfId="0" applyNumberFormat="1" applyFont="1" applyFill="1" applyBorder="1" applyAlignment="1">
      <alignment horizontal="left" vertical="center"/>
    </xf>
    <xf numFmtId="178" fontId="18" fillId="16" borderId="5" xfId="0" applyNumberFormat="1" applyFont="1" applyFill="1" applyBorder="1" applyAlignment="1">
      <alignment horizontal="left" vertical="center" wrapText="1"/>
    </xf>
    <xf numFmtId="0" fontId="26" fillId="27" borderId="5" xfId="0" applyFont="1" applyFill="1" applyBorder="1" applyAlignment="1">
      <alignment horizontal="center" vertical="center"/>
    </xf>
    <xf numFmtId="0" fontId="26" fillId="27" borderId="4" xfId="0" applyFont="1" applyFill="1" applyBorder="1" applyAlignment="1">
      <alignment vertical="center"/>
    </xf>
    <xf numFmtId="16" fontId="20" fillId="27" borderId="4" xfId="0" applyNumberFormat="1" applyFont="1" applyFill="1" applyBorder="1" applyAlignment="1">
      <alignment horizontal="center" vertical="center"/>
    </xf>
    <xf numFmtId="0" fontId="26" fillId="27" borderId="4" xfId="0" applyFont="1" applyFill="1" applyBorder="1" applyAlignment="1">
      <alignment horizontal="center" vertical="center"/>
    </xf>
    <xf numFmtId="0" fontId="26" fillId="27" borderId="6" xfId="0" applyFont="1" applyFill="1" applyBorder="1" applyAlignment="1">
      <alignment horizontal="center" vertical="center"/>
    </xf>
    <xf numFmtId="0" fontId="26" fillId="17" borderId="4" xfId="0" applyFont="1" applyFill="1" applyBorder="1" applyAlignment="1">
      <alignment horizontal="center" vertical="center"/>
    </xf>
    <xf numFmtId="0" fontId="26" fillId="17" borderId="4" xfId="0" applyFont="1" applyFill="1" applyBorder="1" applyAlignment="1">
      <alignment vertical="center"/>
    </xf>
    <xf numFmtId="16" fontId="20" fillId="17" borderId="4" xfId="0" applyNumberFormat="1" applyFont="1" applyFill="1" applyBorder="1" applyAlignment="1">
      <alignment horizontal="center" vertical="center"/>
    </xf>
    <xf numFmtId="0" fontId="26" fillId="17" borderId="7" xfId="0" applyFont="1" applyFill="1" applyBorder="1" applyAlignment="1">
      <alignment horizontal="center" vertical="center"/>
    </xf>
    <xf numFmtId="0" fontId="26" fillId="28" borderId="5" xfId="0" applyFont="1" applyFill="1" applyBorder="1" applyAlignment="1">
      <alignment horizontal="center" vertical="center"/>
    </xf>
    <xf numFmtId="0" fontId="26" fillId="28" borderId="4" xfId="0" applyFont="1" applyFill="1" applyBorder="1" applyAlignment="1">
      <alignment vertical="center"/>
    </xf>
    <xf numFmtId="16" fontId="20" fillId="28" borderId="4" xfId="0" applyNumberFormat="1" applyFont="1" applyFill="1" applyBorder="1" applyAlignment="1">
      <alignment horizontal="center" vertical="center"/>
    </xf>
    <xf numFmtId="0" fontId="26" fillId="28" borderId="4" xfId="0" applyFont="1" applyFill="1" applyBorder="1" applyAlignment="1">
      <alignment horizontal="center" vertical="center"/>
    </xf>
    <xf numFmtId="0" fontId="26" fillId="28" borderId="6" xfId="0" applyFont="1" applyFill="1" applyBorder="1" applyAlignment="1">
      <alignment horizontal="center" vertical="center"/>
    </xf>
    <xf numFmtId="49" fontId="27" fillId="0" borderId="0" xfId="0" applyNumberFormat="1" applyFont="1" applyFill="1" applyAlignment="1">
      <alignment horizontal="left" vertical="center"/>
    </xf>
    <xf numFmtId="49" fontId="28" fillId="0" borderId="0" xfId="0" applyNumberFormat="1" applyFont="1" applyFill="1" applyAlignment="1">
      <alignment horizontal="left" vertical="center" wrapText="1"/>
    </xf>
    <xf numFmtId="49" fontId="26" fillId="0" borderId="0" xfId="0" applyNumberFormat="1" applyFont="1" applyFill="1" applyAlignment="1">
      <alignment horizontal="left" vertical="center"/>
    </xf>
    <xf numFmtId="0" fontId="26" fillId="0" borderId="0" xfId="0" applyFont="1" applyFill="1" applyAlignment="1">
      <alignment horizontal="left" vertical="center"/>
    </xf>
    <xf numFmtId="0" fontId="29" fillId="0" borderId="18" xfId="0" applyFont="1" applyFill="1" applyBorder="1" applyAlignment="1">
      <alignment horizontal="left" vertical="center" wrapText="1"/>
    </xf>
    <xf numFmtId="0" fontId="25" fillId="0" borderId="13" xfId="0" applyFont="1" applyFill="1" applyBorder="1" applyAlignment="1">
      <alignment horizontal="left" vertical="center"/>
    </xf>
    <xf numFmtId="0" fontId="25" fillId="0" borderId="8" xfId="0" applyFont="1" applyFill="1" applyBorder="1" applyAlignment="1">
      <alignment horizontal="left" vertical="center"/>
    </xf>
    <xf numFmtId="0" fontId="25" fillId="0" borderId="19" xfId="0" applyFont="1" applyFill="1" applyBorder="1" applyAlignment="1">
      <alignment horizontal="left" vertical="center"/>
    </xf>
    <xf numFmtId="0" fontId="25" fillId="0" borderId="20" xfId="0" applyFont="1" applyFill="1" applyBorder="1" applyAlignment="1">
      <alignment horizontal="left" vertical="center"/>
    </xf>
    <xf numFmtId="0" fontId="25" fillId="0" borderId="14" xfId="0" applyFont="1" applyFill="1" applyBorder="1" applyAlignment="1">
      <alignment horizontal="left" vertical="center"/>
    </xf>
    <xf numFmtId="0" fontId="30" fillId="0" borderId="20" xfId="0" applyFont="1" applyBorder="1" applyAlignment="1">
      <alignment horizontal="center" vertical="center" wrapText="1"/>
    </xf>
    <xf numFmtId="0" fontId="31" fillId="0" borderId="20" xfId="0" applyFont="1" applyBorder="1" applyAlignment="1">
      <alignment horizontal="center" vertical="center" wrapText="1"/>
    </xf>
    <xf numFmtId="49" fontId="32" fillId="29" borderId="4" xfId="0" applyNumberFormat="1" applyFont="1" applyFill="1" applyBorder="1" applyAlignment="1">
      <alignment horizontal="center" vertical="center" wrapText="1"/>
    </xf>
    <xf numFmtId="0" fontId="0" fillId="0" borderId="5" xfId="0" applyFont="1" applyBorder="1" applyAlignment="1">
      <alignment horizontal="center" vertical="center" wrapText="1"/>
    </xf>
    <xf numFmtId="49" fontId="33" fillId="0" borderId="4" xfId="0" applyNumberFormat="1" applyFont="1" applyBorder="1" applyAlignment="1">
      <alignment horizontal="center" vertical="center" wrapText="1"/>
    </xf>
    <xf numFmtId="49" fontId="33" fillId="0" borderId="4" xfId="49" applyNumberFormat="1" applyFont="1" applyBorder="1" applyAlignment="1">
      <alignment horizontal="center" vertical="center" wrapText="1"/>
    </xf>
    <xf numFmtId="49" fontId="33" fillId="0" borderId="4" xfId="0" applyNumberFormat="1" applyFont="1" applyBorder="1" applyAlignment="1">
      <alignment horizontal="center" vertical="center"/>
    </xf>
    <xf numFmtId="49" fontId="33" fillId="0" borderId="21" xfId="0" applyNumberFormat="1" applyFont="1" applyBorder="1" applyAlignment="1">
      <alignment horizontal="center" vertical="center"/>
    </xf>
    <xf numFmtId="0" fontId="0" fillId="0" borderId="5" xfId="0" applyBorder="1" applyAlignment="1">
      <alignment horizontal="center" vertical="center" wrapText="1"/>
    </xf>
    <xf numFmtId="0" fontId="0" fillId="0" borderId="6" xfId="0" applyFont="1" applyBorder="1" applyAlignment="1">
      <alignment horizontal="center" vertical="center" wrapText="1"/>
    </xf>
    <xf numFmtId="49" fontId="34" fillId="0" borderId="21" xfId="0" applyNumberFormat="1" applyFont="1" applyBorder="1" applyAlignment="1">
      <alignment horizontal="center" vertical="center"/>
    </xf>
    <xf numFmtId="0" fontId="0" fillId="0" borderId="6" xfId="0" applyBorder="1" applyAlignment="1">
      <alignment horizontal="center" vertical="center" wrapText="1"/>
    </xf>
    <xf numFmtId="49" fontId="34" fillId="0" borderId="22" xfId="0" applyNumberFormat="1" applyFont="1" applyBorder="1" applyAlignment="1">
      <alignment horizontal="center" vertical="center"/>
    </xf>
    <xf numFmtId="0" fontId="0" fillId="0" borderId="7" xfId="0" applyFont="1" applyBorder="1" applyAlignment="1">
      <alignment horizontal="center" vertical="center" wrapText="1"/>
    </xf>
    <xf numFmtId="49" fontId="33" fillId="0" borderId="23" xfId="0" applyNumberFormat="1" applyFont="1" applyBorder="1" applyAlignment="1">
      <alignment horizontal="center" vertical="center"/>
    </xf>
    <xf numFmtId="0" fontId="0" fillId="0" borderId="7" xfId="0" applyBorder="1" applyAlignment="1">
      <alignment horizontal="center" vertical="center" wrapText="1"/>
    </xf>
    <xf numFmtId="0" fontId="0" fillId="0" borderId="4" xfId="0" applyFont="1" applyBorder="1" applyAlignment="1">
      <alignment horizontal="center" vertical="center" wrapText="1"/>
    </xf>
    <xf numFmtId="49" fontId="33" fillId="0" borderId="22" xfId="0" applyNumberFormat="1" applyFont="1" applyBorder="1" applyAlignment="1">
      <alignment horizontal="center" vertical="center"/>
    </xf>
    <xf numFmtId="49" fontId="33" fillId="0" borderId="5" xfId="0" applyNumberFormat="1" applyFont="1" applyBorder="1" applyAlignment="1">
      <alignment horizontal="center" vertical="center" wrapText="1"/>
    </xf>
    <xf numFmtId="49" fontId="33" fillId="0" borderId="5" xfId="49" applyNumberFormat="1" applyFont="1" applyBorder="1" applyAlignment="1">
      <alignment horizontal="center" vertical="center" wrapText="1"/>
    </xf>
    <xf numFmtId="49" fontId="33" fillId="0" borderId="5" xfId="0" applyNumberFormat="1" applyFont="1" applyBorder="1" applyAlignment="1">
      <alignment horizontal="center" vertical="center"/>
    </xf>
    <xf numFmtId="0" fontId="0" fillId="0" borderId="4" xfId="0" applyBorder="1" applyAlignment="1">
      <alignment horizontal="center" vertical="center" wrapText="1"/>
    </xf>
    <xf numFmtId="0" fontId="35" fillId="0" borderId="0" xfId="0" applyFont="1" applyAlignment="1"/>
    <xf numFmtId="0" fontId="27" fillId="0" borderId="0" xfId="0" applyFont="1" applyAlignment="1"/>
    <xf numFmtId="177" fontId="26" fillId="0" borderId="0" xfId="0" applyNumberFormat="1" applyFont="1" applyFill="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中东 印巴 红海0221"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D2F4F2"/>
      <color rgb="00C9E4B4"/>
      <color rgb="00EF949F"/>
      <color rgb="00F4B7BE"/>
      <color rgb="00ADD88D"/>
      <color rgb="007CDED7"/>
      <color rgb="00BDD7EE"/>
      <color rgb="00000000"/>
      <color rgb="00D6DCE4"/>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8"/>
  </sheetPr>
  <dimension ref="A1:I99"/>
  <sheetViews>
    <sheetView zoomScale="85" zoomScaleNormal="85" topLeftCell="A72" workbookViewId="0">
      <selection activeCell="I102" sqref="I102"/>
    </sheetView>
  </sheetViews>
  <sheetFormatPr defaultColWidth="9" defaultRowHeight="13.5"/>
  <cols>
    <col min="1" max="1" width="15.375" customWidth="1"/>
    <col min="2" max="2" width="25.375" customWidth="1"/>
    <col min="3" max="3" width="17.5" customWidth="1"/>
    <col min="4" max="4" width="14.625" customWidth="1"/>
    <col min="5" max="5" width="14.75" customWidth="1"/>
    <col min="6" max="6" width="15.5" customWidth="1"/>
    <col min="7" max="7" width="14.75" customWidth="1"/>
    <col min="8" max="8" width="19.5" customWidth="1"/>
    <col min="9" max="9" width="46.625" customWidth="1"/>
  </cols>
  <sheetData>
    <row r="1" ht="43" customHeight="1" spans="1:9">
      <c r="A1" s="188" t="s">
        <v>0</v>
      </c>
      <c r="B1" s="189"/>
      <c r="C1" s="189"/>
      <c r="D1" s="189"/>
      <c r="E1" s="189"/>
      <c r="F1" s="189"/>
      <c r="G1" s="189"/>
      <c r="H1" s="190"/>
      <c r="I1" s="311"/>
    </row>
    <row r="2" ht="56" customHeight="1" spans="1:9">
      <c r="A2" s="191" t="s">
        <v>1</v>
      </c>
      <c r="B2" s="192" t="s">
        <v>2</v>
      </c>
      <c r="C2" s="193" t="s">
        <v>3</v>
      </c>
      <c r="D2" s="194" t="s">
        <v>4</v>
      </c>
      <c r="E2" s="194" t="s">
        <v>5</v>
      </c>
      <c r="F2" s="194" t="s">
        <v>6</v>
      </c>
      <c r="G2" s="194" t="s">
        <v>7</v>
      </c>
      <c r="H2" s="194" t="s">
        <v>8</v>
      </c>
      <c r="I2" s="312" t="s">
        <v>9</v>
      </c>
    </row>
    <row r="3" s="187" customFormat="1" ht="15" customHeight="1" spans="1:9">
      <c r="A3" s="195" t="s">
        <v>10</v>
      </c>
      <c r="B3" s="196" t="s">
        <v>11</v>
      </c>
      <c r="C3" s="197" t="s">
        <v>12</v>
      </c>
      <c r="D3" s="198">
        <v>1450</v>
      </c>
      <c r="E3" s="198">
        <v>2400</v>
      </c>
      <c r="F3" s="198">
        <v>2500</v>
      </c>
      <c r="G3" s="198">
        <v>3550</v>
      </c>
      <c r="H3" s="195">
        <v>45807</v>
      </c>
      <c r="I3" s="311"/>
    </row>
    <row r="4" s="187" customFormat="1" ht="15" customHeight="1" spans="1:9">
      <c r="A4" s="199" t="s">
        <v>13</v>
      </c>
      <c r="B4" s="200" t="s">
        <v>11</v>
      </c>
      <c r="C4" s="201" t="s">
        <v>12</v>
      </c>
      <c r="D4" s="202">
        <v>950</v>
      </c>
      <c r="E4" s="202">
        <v>1400</v>
      </c>
      <c r="F4" s="202">
        <v>1750</v>
      </c>
      <c r="G4" s="202">
        <v>2500</v>
      </c>
      <c r="H4" s="203">
        <v>45807</v>
      </c>
      <c r="I4" s="311" t="s">
        <v>14</v>
      </c>
    </row>
    <row r="5" s="187" customFormat="1" ht="15" customHeight="1" spans="1:9">
      <c r="A5" s="199"/>
      <c r="B5" s="204" t="s">
        <v>15</v>
      </c>
      <c r="C5" s="205" t="s">
        <v>16</v>
      </c>
      <c r="D5" s="202">
        <v>900</v>
      </c>
      <c r="E5" s="202">
        <v>1100</v>
      </c>
      <c r="F5" s="202">
        <v>1700</v>
      </c>
      <c r="G5" s="202">
        <v>2200</v>
      </c>
      <c r="H5" s="203">
        <v>45806</v>
      </c>
      <c r="I5" s="311"/>
    </row>
    <row r="6" s="187" customFormat="1" ht="15" customHeight="1" spans="1:9">
      <c r="A6" s="206" t="s">
        <v>17</v>
      </c>
      <c r="B6" s="207" t="s">
        <v>11</v>
      </c>
      <c r="C6" s="208" t="s">
        <v>12</v>
      </c>
      <c r="D6" s="209">
        <v>850</v>
      </c>
      <c r="E6" s="209">
        <v>1100</v>
      </c>
      <c r="F6" s="209">
        <v>1650</v>
      </c>
      <c r="G6" s="209">
        <v>2200</v>
      </c>
      <c r="H6" s="210">
        <v>45802</v>
      </c>
      <c r="I6" s="311" t="s">
        <v>18</v>
      </c>
    </row>
    <row r="7" s="187" customFormat="1" ht="15" customHeight="1" spans="1:9">
      <c r="A7" s="206" t="s">
        <v>19</v>
      </c>
      <c r="B7" s="207" t="s">
        <v>15</v>
      </c>
      <c r="C7" s="211" t="s">
        <v>16</v>
      </c>
      <c r="D7" s="209">
        <v>900</v>
      </c>
      <c r="E7" s="209">
        <v>1100</v>
      </c>
      <c r="F7" s="209">
        <v>1700</v>
      </c>
      <c r="G7" s="209">
        <v>2200</v>
      </c>
      <c r="H7" s="210">
        <v>45807</v>
      </c>
      <c r="I7" s="311"/>
    </row>
    <row r="8" s="187" customFormat="1" ht="15" customHeight="1" spans="1:9">
      <c r="A8" s="212" t="s">
        <v>20</v>
      </c>
      <c r="B8" s="213" t="s">
        <v>21</v>
      </c>
      <c r="C8" s="214" t="s">
        <v>22</v>
      </c>
      <c r="D8" s="215">
        <v>1075</v>
      </c>
      <c r="E8" s="215">
        <v>1200</v>
      </c>
      <c r="F8" s="215">
        <v>1875</v>
      </c>
      <c r="G8" s="215">
        <v>2300</v>
      </c>
      <c r="H8" s="216">
        <v>45802</v>
      </c>
      <c r="I8" s="311"/>
    </row>
    <row r="9" s="187" customFormat="1" ht="15" customHeight="1" spans="1:9">
      <c r="A9" s="217"/>
      <c r="B9" s="218" t="s">
        <v>11</v>
      </c>
      <c r="C9" s="219" t="s">
        <v>23</v>
      </c>
      <c r="D9" s="215">
        <v>825</v>
      </c>
      <c r="E9" s="215">
        <v>1050</v>
      </c>
      <c r="F9" s="215">
        <v>1625</v>
      </c>
      <c r="G9" s="215">
        <v>2150</v>
      </c>
      <c r="H9" s="220">
        <v>45803</v>
      </c>
      <c r="I9" s="311" t="s">
        <v>24</v>
      </c>
    </row>
    <row r="10" s="187" customFormat="1" ht="15" customHeight="1" spans="1:9">
      <c r="A10" s="217"/>
      <c r="B10" s="221" t="s">
        <v>15</v>
      </c>
      <c r="C10" s="219" t="s">
        <v>16</v>
      </c>
      <c r="D10" s="215">
        <v>900</v>
      </c>
      <c r="E10" s="215">
        <v>1100</v>
      </c>
      <c r="F10" s="215">
        <v>1700</v>
      </c>
      <c r="G10" s="215">
        <v>2200</v>
      </c>
      <c r="H10" s="220">
        <v>45808</v>
      </c>
      <c r="I10" s="311"/>
    </row>
    <row r="11" s="187" customFormat="1" ht="15" customHeight="1" spans="1:9">
      <c r="A11" s="222" t="s">
        <v>25</v>
      </c>
      <c r="B11" s="223" t="s">
        <v>11</v>
      </c>
      <c r="C11" s="224" t="s">
        <v>26</v>
      </c>
      <c r="D11" s="225">
        <v>680</v>
      </c>
      <c r="E11" s="225">
        <v>960</v>
      </c>
      <c r="F11" s="225">
        <v>1430</v>
      </c>
      <c r="G11" s="225">
        <v>1860</v>
      </c>
      <c r="H11" s="226">
        <v>45809</v>
      </c>
      <c r="I11" s="311"/>
    </row>
    <row r="12" s="187" customFormat="1" ht="15" customHeight="1" spans="1:9">
      <c r="A12" s="222"/>
      <c r="B12" s="223" t="s">
        <v>11</v>
      </c>
      <c r="C12" s="224" t="s">
        <v>12</v>
      </c>
      <c r="D12" s="225">
        <v>680</v>
      </c>
      <c r="E12" s="225">
        <v>960</v>
      </c>
      <c r="F12" s="225">
        <v>1430</v>
      </c>
      <c r="G12" s="225">
        <v>1860</v>
      </c>
      <c r="H12" s="226">
        <v>45809</v>
      </c>
      <c r="I12" s="311"/>
    </row>
    <row r="13" s="187" customFormat="1" ht="15" customHeight="1" spans="1:9">
      <c r="A13" s="222"/>
      <c r="B13" s="223" t="s">
        <v>15</v>
      </c>
      <c r="C13" s="227" t="s">
        <v>16</v>
      </c>
      <c r="D13" s="225">
        <v>850</v>
      </c>
      <c r="E13" s="225">
        <v>1000</v>
      </c>
      <c r="F13" s="225">
        <v>1600</v>
      </c>
      <c r="G13" s="225">
        <v>1900</v>
      </c>
      <c r="H13" s="226">
        <v>45804</v>
      </c>
      <c r="I13" s="311"/>
    </row>
    <row r="14" s="187" customFormat="1" ht="15" customHeight="1" spans="1:9">
      <c r="A14" s="222"/>
      <c r="B14" s="228" t="s">
        <v>21</v>
      </c>
      <c r="C14" s="229" t="s">
        <v>22</v>
      </c>
      <c r="D14" s="225">
        <v>950</v>
      </c>
      <c r="E14" s="225">
        <v>1150</v>
      </c>
      <c r="F14" s="225">
        <v>1700</v>
      </c>
      <c r="G14" s="225">
        <v>2050</v>
      </c>
      <c r="H14" s="226">
        <v>45805</v>
      </c>
      <c r="I14" s="311"/>
    </row>
    <row r="15" s="187" customFormat="1" ht="15" customHeight="1" spans="1:9">
      <c r="A15" s="222"/>
      <c r="B15" s="228" t="s">
        <v>11</v>
      </c>
      <c r="C15" s="224" t="s">
        <v>27</v>
      </c>
      <c r="D15" s="225">
        <v>700</v>
      </c>
      <c r="E15" s="225">
        <v>900</v>
      </c>
      <c r="F15" s="225">
        <v>1450</v>
      </c>
      <c r="G15" s="225">
        <v>1800</v>
      </c>
      <c r="H15" s="226">
        <v>45805</v>
      </c>
      <c r="I15" s="311"/>
    </row>
    <row r="16" s="187" customFormat="1" ht="15" customHeight="1" spans="1:9">
      <c r="A16" s="222"/>
      <c r="B16" s="228" t="s">
        <v>21</v>
      </c>
      <c r="C16" s="224" t="s">
        <v>28</v>
      </c>
      <c r="D16" s="225">
        <v>650</v>
      </c>
      <c r="E16" s="225">
        <v>800</v>
      </c>
      <c r="F16" s="225">
        <v>1400</v>
      </c>
      <c r="G16" s="225">
        <v>1700</v>
      </c>
      <c r="H16" s="226">
        <v>45810</v>
      </c>
      <c r="I16" s="311"/>
    </row>
    <row r="17" s="187" customFormat="1" ht="15" customHeight="1" spans="1:9">
      <c r="A17" s="230" t="s">
        <v>29</v>
      </c>
      <c r="B17" s="231" t="s">
        <v>21</v>
      </c>
      <c r="C17" s="232" t="s">
        <v>30</v>
      </c>
      <c r="D17" s="233">
        <v>600</v>
      </c>
      <c r="E17" s="233">
        <v>800</v>
      </c>
      <c r="F17" s="233">
        <v>1350</v>
      </c>
      <c r="G17" s="233">
        <v>1700</v>
      </c>
      <c r="H17" s="234">
        <v>45808</v>
      </c>
      <c r="I17" s="311"/>
    </row>
    <row r="18" s="187" customFormat="1" ht="15" customHeight="1" spans="1:9">
      <c r="A18" s="230"/>
      <c r="B18" s="231" t="s">
        <v>21</v>
      </c>
      <c r="C18" s="232" t="s">
        <v>31</v>
      </c>
      <c r="D18" s="233">
        <v>700</v>
      </c>
      <c r="E18" s="233">
        <v>900</v>
      </c>
      <c r="F18" s="233">
        <v>1450</v>
      </c>
      <c r="G18" s="233">
        <v>1800</v>
      </c>
      <c r="H18" s="234">
        <v>45803</v>
      </c>
      <c r="I18" s="311" t="s">
        <v>32</v>
      </c>
    </row>
    <row r="19" s="187" customFormat="1" ht="15" customHeight="1" spans="1:9">
      <c r="A19" s="230"/>
      <c r="B19" s="231" t="s">
        <v>33</v>
      </c>
      <c r="C19" s="232" t="s">
        <v>31</v>
      </c>
      <c r="D19" s="233">
        <v>700</v>
      </c>
      <c r="E19" s="233">
        <v>900</v>
      </c>
      <c r="F19" s="233">
        <v>1450</v>
      </c>
      <c r="G19" s="233">
        <v>1800</v>
      </c>
      <c r="H19" s="234">
        <v>45803</v>
      </c>
      <c r="I19" s="311" t="s">
        <v>32</v>
      </c>
    </row>
    <row r="20" s="187" customFormat="1" ht="15" customHeight="1" spans="1:9">
      <c r="A20" s="235" t="s">
        <v>34</v>
      </c>
      <c r="B20" s="236" t="s">
        <v>15</v>
      </c>
      <c r="C20" s="237" t="s">
        <v>16</v>
      </c>
      <c r="D20" s="238">
        <v>800</v>
      </c>
      <c r="E20" s="238">
        <v>900</v>
      </c>
      <c r="F20" s="238">
        <v>1550</v>
      </c>
      <c r="G20" s="238">
        <v>1950</v>
      </c>
      <c r="H20" s="239">
        <v>45803</v>
      </c>
      <c r="I20" s="311"/>
    </row>
    <row r="21" s="187" customFormat="1" ht="15" customHeight="1" spans="1:9">
      <c r="A21" s="235"/>
      <c r="B21" s="236" t="s">
        <v>11</v>
      </c>
      <c r="C21" s="240" t="s">
        <v>26</v>
      </c>
      <c r="D21" s="238">
        <v>625</v>
      </c>
      <c r="E21" s="238">
        <v>850</v>
      </c>
      <c r="F21" s="238">
        <v>1375</v>
      </c>
      <c r="G21" s="238">
        <v>1900</v>
      </c>
      <c r="H21" s="239">
        <v>45807</v>
      </c>
      <c r="I21" s="311"/>
    </row>
    <row r="22" s="187" customFormat="1" ht="15" customHeight="1" spans="1:9">
      <c r="A22" s="235"/>
      <c r="B22" s="241" t="s">
        <v>11</v>
      </c>
      <c r="C22" s="242" t="s">
        <v>12</v>
      </c>
      <c r="D22" s="238">
        <v>625</v>
      </c>
      <c r="E22" s="238">
        <v>850</v>
      </c>
      <c r="F22" s="238">
        <v>1375</v>
      </c>
      <c r="G22" s="238">
        <v>1900</v>
      </c>
      <c r="H22" s="239">
        <v>45807</v>
      </c>
      <c r="I22" s="311"/>
    </row>
    <row r="23" s="187" customFormat="1" ht="15" customHeight="1" spans="1:9">
      <c r="A23" s="235"/>
      <c r="B23" s="243" t="s">
        <v>15</v>
      </c>
      <c r="C23" s="244" t="s">
        <v>35</v>
      </c>
      <c r="D23" s="238">
        <v>725</v>
      </c>
      <c r="E23" s="238">
        <v>950</v>
      </c>
      <c r="F23" s="238">
        <v>1475</v>
      </c>
      <c r="G23" s="238">
        <v>2000</v>
      </c>
      <c r="H23" s="245">
        <v>45805</v>
      </c>
      <c r="I23" s="311"/>
    </row>
    <row r="24" s="187" customFormat="1" ht="15" customHeight="1" spans="1:9">
      <c r="A24" s="246" t="s">
        <v>36</v>
      </c>
      <c r="B24" s="247" t="s">
        <v>21</v>
      </c>
      <c r="C24" s="248" t="s">
        <v>28</v>
      </c>
      <c r="D24" s="249">
        <v>650</v>
      </c>
      <c r="E24" s="249">
        <v>800</v>
      </c>
      <c r="F24" s="249">
        <v>1350</v>
      </c>
      <c r="G24" s="249">
        <v>1500</v>
      </c>
      <c r="H24" s="250">
        <v>45805</v>
      </c>
      <c r="I24" s="311"/>
    </row>
    <row r="25" s="187" customFormat="1" ht="15" customHeight="1" spans="1:9">
      <c r="A25" s="246"/>
      <c r="B25" s="251" t="s">
        <v>21</v>
      </c>
      <c r="C25" s="252" t="s">
        <v>30</v>
      </c>
      <c r="D25" s="249">
        <v>600</v>
      </c>
      <c r="E25" s="249">
        <v>800</v>
      </c>
      <c r="F25" s="249">
        <v>1300</v>
      </c>
      <c r="G25" s="249">
        <v>1500</v>
      </c>
      <c r="H25" s="253">
        <v>45805</v>
      </c>
      <c r="I25" s="311"/>
    </row>
    <row r="26" s="187" customFormat="1" ht="15" customHeight="1" spans="1:9">
      <c r="A26" s="246"/>
      <c r="B26" s="251" t="s">
        <v>15</v>
      </c>
      <c r="C26" s="254" t="s">
        <v>16</v>
      </c>
      <c r="D26" s="249">
        <v>800</v>
      </c>
      <c r="E26" s="249">
        <v>900</v>
      </c>
      <c r="F26" s="249">
        <v>1500</v>
      </c>
      <c r="G26" s="249">
        <v>1600</v>
      </c>
      <c r="H26" s="253">
        <v>45803</v>
      </c>
      <c r="I26" s="311"/>
    </row>
    <row r="27" s="187" customFormat="1" ht="15" customHeight="1" spans="1:9">
      <c r="A27" s="255" t="s">
        <v>37</v>
      </c>
      <c r="B27" s="256" t="s">
        <v>21</v>
      </c>
      <c r="C27" s="257" t="s">
        <v>28</v>
      </c>
      <c r="D27" s="258">
        <v>650</v>
      </c>
      <c r="E27" s="258">
        <v>800</v>
      </c>
      <c r="F27" s="258">
        <v>1350</v>
      </c>
      <c r="G27" s="258">
        <v>1500</v>
      </c>
      <c r="H27" s="259">
        <v>45800</v>
      </c>
      <c r="I27" s="311"/>
    </row>
    <row r="28" s="187" customFormat="1" ht="15" customHeight="1" spans="1:9">
      <c r="A28" s="255"/>
      <c r="B28" s="256" t="s">
        <v>33</v>
      </c>
      <c r="C28" s="257" t="s">
        <v>38</v>
      </c>
      <c r="D28" s="258">
        <v>700</v>
      </c>
      <c r="E28" s="258">
        <v>950</v>
      </c>
      <c r="F28" s="258">
        <v>1400</v>
      </c>
      <c r="G28" s="258">
        <v>1650</v>
      </c>
      <c r="H28" s="260">
        <v>45807</v>
      </c>
      <c r="I28" s="311"/>
    </row>
    <row r="29" s="187" customFormat="1" ht="15" customHeight="1" spans="1:9">
      <c r="A29" s="255"/>
      <c r="B29" s="256" t="s">
        <v>21</v>
      </c>
      <c r="C29" s="257" t="s">
        <v>38</v>
      </c>
      <c r="D29" s="258">
        <v>700</v>
      </c>
      <c r="E29" s="258">
        <v>850</v>
      </c>
      <c r="F29" s="258">
        <v>1400</v>
      </c>
      <c r="G29" s="258">
        <v>1550</v>
      </c>
      <c r="H29" s="259">
        <v>45800</v>
      </c>
      <c r="I29" s="311"/>
    </row>
    <row r="30" s="187" customFormat="1" ht="15" customHeight="1" spans="1:9">
      <c r="A30" s="255"/>
      <c r="B30" s="261" t="s">
        <v>21</v>
      </c>
      <c r="C30" s="262" t="s">
        <v>30</v>
      </c>
      <c r="D30" s="258">
        <v>700</v>
      </c>
      <c r="E30" s="258">
        <v>950</v>
      </c>
      <c r="F30" s="258">
        <v>1400</v>
      </c>
      <c r="G30" s="258">
        <v>1650</v>
      </c>
      <c r="H30" s="259">
        <v>45805</v>
      </c>
      <c r="I30" s="311" t="s">
        <v>39</v>
      </c>
    </row>
    <row r="31" s="187" customFormat="1" ht="15" customHeight="1" spans="1:9">
      <c r="A31" s="255"/>
      <c r="B31" s="256" t="s">
        <v>15</v>
      </c>
      <c r="C31" s="263" t="s">
        <v>35</v>
      </c>
      <c r="D31" s="258">
        <v>725</v>
      </c>
      <c r="E31" s="258">
        <v>950</v>
      </c>
      <c r="F31" s="258">
        <v>1425</v>
      </c>
      <c r="G31" s="258">
        <v>1650</v>
      </c>
      <c r="H31" s="264">
        <v>45802</v>
      </c>
      <c r="I31" s="311"/>
    </row>
    <row r="32" s="187" customFormat="1" ht="15" customHeight="1" spans="1:9">
      <c r="A32" s="255"/>
      <c r="B32" s="256" t="s">
        <v>21</v>
      </c>
      <c r="C32" s="257" t="s">
        <v>40</v>
      </c>
      <c r="D32" s="258">
        <v>600</v>
      </c>
      <c r="E32" s="258">
        <v>750</v>
      </c>
      <c r="F32" s="258">
        <v>1300</v>
      </c>
      <c r="G32" s="258">
        <v>1450</v>
      </c>
      <c r="H32" s="265">
        <v>45802</v>
      </c>
      <c r="I32" s="311" t="s">
        <v>32</v>
      </c>
    </row>
    <row r="33" s="187" customFormat="1" ht="15" customHeight="1" spans="1:9">
      <c r="A33" s="255"/>
      <c r="B33" s="256" t="s">
        <v>21</v>
      </c>
      <c r="C33" s="263" t="s">
        <v>31</v>
      </c>
      <c r="D33" s="258">
        <v>700</v>
      </c>
      <c r="E33" s="258">
        <v>900</v>
      </c>
      <c r="F33" s="258">
        <v>1400</v>
      </c>
      <c r="G33" s="258">
        <v>1600</v>
      </c>
      <c r="H33" s="259">
        <v>45815</v>
      </c>
      <c r="I33" s="311"/>
    </row>
    <row r="34" s="187" customFormat="1" ht="15" customHeight="1" spans="1:9">
      <c r="A34" s="255"/>
      <c r="B34" s="256" t="s">
        <v>41</v>
      </c>
      <c r="C34" s="263" t="s">
        <v>31</v>
      </c>
      <c r="D34" s="258">
        <v>700</v>
      </c>
      <c r="E34" s="258">
        <v>900</v>
      </c>
      <c r="F34" s="258">
        <v>1400</v>
      </c>
      <c r="G34" s="258">
        <v>1600</v>
      </c>
      <c r="H34" s="259">
        <v>45815</v>
      </c>
      <c r="I34" s="311"/>
    </row>
    <row r="35" s="187" customFormat="1" ht="15" customHeight="1" spans="1:9">
      <c r="A35" s="255"/>
      <c r="B35" s="256" t="s">
        <v>11</v>
      </c>
      <c r="C35" s="257" t="s">
        <v>27</v>
      </c>
      <c r="D35" s="258">
        <v>700</v>
      </c>
      <c r="E35" s="258">
        <v>900</v>
      </c>
      <c r="F35" s="258">
        <v>1400</v>
      </c>
      <c r="G35" s="258">
        <v>1600</v>
      </c>
      <c r="H35" s="266">
        <v>45808</v>
      </c>
      <c r="I35" s="311"/>
    </row>
    <row r="36" s="187" customFormat="1" ht="15" customHeight="1" spans="1:9">
      <c r="A36" s="267" t="s">
        <v>42</v>
      </c>
      <c r="B36" s="268" t="s">
        <v>21</v>
      </c>
      <c r="C36" s="269" t="s">
        <v>30</v>
      </c>
      <c r="D36" s="270">
        <v>600</v>
      </c>
      <c r="E36" s="270">
        <v>800</v>
      </c>
      <c r="F36" s="270">
        <v>1300</v>
      </c>
      <c r="G36" s="270">
        <v>1500</v>
      </c>
      <c r="H36" s="271">
        <v>45802</v>
      </c>
      <c r="I36" s="311"/>
    </row>
    <row r="37" s="187" customFormat="1" ht="15" customHeight="1" spans="1:9">
      <c r="A37" s="272"/>
      <c r="B37" s="268" t="s">
        <v>11</v>
      </c>
      <c r="C37" s="269" t="s">
        <v>12</v>
      </c>
      <c r="D37" s="270">
        <v>750</v>
      </c>
      <c r="E37" s="270">
        <v>1000</v>
      </c>
      <c r="F37" s="270">
        <v>1450</v>
      </c>
      <c r="G37" s="270">
        <v>1700</v>
      </c>
      <c r="H37" s="271">
        <v>45803</v>
      </c>
      <c r="I37" s="311" t="s">
        <v>18</v>
      </c>
    </row>
    <row r="38" ht="15" customHeight="1" spans="1:9">
      <c r="A38" s="272"/>
      <c r="B38" s="273" t="s">
        <v>21</v>
      </c>
      <c r="C38" s="274" t="s">
        <v>28</v>
      </c>
      <c r="D38" s="270">
        <v>650</v>
      </c>
      <c r="E38" s="270">
        <v>800</v>
      </c>
      <c r="F38" s="270">
        <v>1350</v>
      </c>
      <c r="G38" s="270">
        <v>1500</v>
      </c>
      <c r="H38" s="271">
        <v>45803</v>
      </c>
      <c r="I38" s="311"/>
    </row>
    <row r="39" ht="15" customHeight="1" spans="1:9">
      <c r="A39" s="272"/>
      <c r="B39" s="275" t="s">
        <v>15</v>
      </c>
      <c r="C39" s="276" t="s">
        <v>16</v>
      </c>
      <c r="D39" s="270">
        <v>850</v>
      </c>
      <c r="E39" s="270">
        <v>950</v>
      </c>
      <c r="F39" s="270">
        <v>1550</v>
      </c>
      <c r="G39" s="270">
        <v>1650</v>
      </c>
      <c r="H39" s="271">
        <v>45807</v>
      </c>
      <c r="I39" s="311"/>
    </row>
    <row r="40" ht="15" customHeight="1" spans="1:9">
      <c r="A40" s="272"/>
      <c r="B40" s="275" t="s">
        <v>21</v>
      </c>
      <c r="C40" s="275" t="s">
        <v>40</v>
      </c>
      <c r="D40" s="270">
        <v>600</v>
      </c>
      <c r="E40" s="270">
        <v>750</v>
      </c>
      <c r="F40" s="270">
        <v>1300</v>
      </c>
      <c r="G40" s="270">
        <v>1450</v>
      </c>
      <c r="H40" s="277">
        <v>45805</v>
      </c>
      <c r="I40" s="311" t="s">
        <v>43</v>
      </c>
    </row>
    <row r="41" ht="15" customHeight="1" spans="1:9">
      <c r="A41" s="278" t="s">
        <v>44</v>
      </c>
      <c r="B41" s="236" t="s">
        <v>21</v>
      </c>
      <c r="C41" s="279" t="s">
        <v>22</v>
      </c>
      <c r="D41" s="238">
        <v>925</v>
      </c>
      <c r="E41" s="238">
        <v>1100</v>
      </c>
      <c r="F41" s="238">
        <v>1675</v>
      </c>
      <c r="G41" s="238">
        <v>1850</v>
      </c>
      <c r="H41" s="280">
        <v>45808</v>
      </c>
      <c r="I41" s="311"/>
    </row>
    <row r="42" ht="15" customHeight="1" spans="1:9">
      <c r="A42" s="281"/>
      <c r="B42" s="236" t="s">
        <v>11</v>
      </c>
      <c r="C42" s="279" t="s">
        <v>12</v>
      </c>
      <c r="D42" s="238">
        <v>950</v>
      </c>
      <c r="E42" s="238">
        <v>1200</v>
      </c>
      <c r="F42" s="238">
        <v>1700</v>
      </c>
      <c r="G42" s="238">
        <v>1950</v>
      </c>
      <c r="H42" s="280">
        <v>45802</v>
      </c>
      <c r="I42" s="311" t="s">
        <v>24</v>
      </c>
    </row>
    <row r="43" ht="15" customHeight="1" spans="1:9">
      <c r="A43" s="281"/>
      <c r="B43" s="243" t="s">
        <v>15</v>
      </c>
      <c r="C43" s="282" t="s">
        <v>16</v>
      </c>
      <c r="D43" s="238">
        <v>850</v>
      </c>
      <c r="E43" s="238">
        <v>950</v>
      </c>
      <c r="F43" s="238">
        <v>1600</v>
      </c>
      <c r="G43" s="238">
        <v>1700</v>
      </c>
      <c r="H43" s="280">
        <v>45808</v>
      </c>
      <c r="I43" s="311"/>
    </row>
    <row r="44" spans="1:9">
      <c r="A44" s="283" t="s">
        <v>45</v>
      </c>
      <c r="B44" s="284" t="s">
        <v>46</v>
      </c>
      <c r="C44" s="285"/>
      <c r="D44" s="285"/>
      <c r="E44" s="285"/>
      <c r="F44" s="285"/>
      <c r="G44" s="285"/>
      <c r="H44" s="286"/>
      <c r="I44" s="311"/>
    </row>
    <row r="45" ht="143" customHeight="1" spans="1:9">
      <c r="A45" s="287"/>
      <c r="B45" s="288"/>
      <c r="C45" s="289"/>
      <c r="D45" s="289"/>
      <c r="E45" s="289"/>
      <c r="F45" s="289"/>
      <c r="G45" s="289"/>
      <c r="H45" s="290"/>
      <c r="I45" s="311"/>
    </row>
    <row r="46" ht="79" customHeight="1" spans="1:9">
      <c r="A46" s="291" t="s">
        <v>47</v>
      </c>
      <c r="B46" s="292" t="s">
        <v>48</v>
      </c>
      <c r="C46" s="292"/>
      <c r="D46" s="292"/>
      <c r="E46" s="292"/>
      <c r="F46" s="292"/>
      <c r="G46" s="292"/>
      <c r="H46" s="292"/>
      <c r="I46" s="311"/>
    </row>
    <row r="49" ht="30.75" spans="1:8">
      <c r="A49" s="293" t="s">
        <v>49</v>
      </c>
      <c r="B49" s="294"/>
      <c r="C49" s="294"/>
      <c r="D49" s="294"/>
      <c r="E49" s="294"/>
      <c r="F49" s="294"/>
      <c r="G49" s="294"/>
      <c r="H49" s="295"/>
    </row>
    <row r="50" ht="56.25" spans="1:9">
      <c r="A50" s="191" t="s">
        <v>1</v>
      </c>
      <c r="B50" s="191" t="s">
        <v>2</v>
      </c>
      <c r="C50" s="296" t="s">
        <v>3</v>
      </c>
      <c r="D50" s="191" t="s">
        <v>50</v>
      </c>
      <c r="E50" s="191" t="s">
        <v>51</v>
      </c>
      <c r="F50" s="191" t="s">
        <v>52</v>
      </c>
      <c r="G50" s="191" t="s">
        <v>53</v>
      </c>
      <c r="H50" s="191" t="s">
        <v>8</v>
      </c>
      <c r="I50" s="312" t="s">
        <v>9</v>
      </c>
    </row>
    <row r="51" ht="15" spans="1:9">
      <c r="A51" s="297" t="s">
        <v>37</v>
      </c>
      <c r="B51" s="298" t="s">
        <v>54</v>
      </c>
      <c r="C51" s="298" t="s">
        <v>55</v>
      </c>
      <c r="D51" s="298" t="s">
        <v>56</v>
      </c>
      <c r="E51" s="298" t="s">
        <v>56</v>
      </c>
      <c r="F51" s="298">
        <v>4855</v>
      </c>
      <c r="G51" s="298">
        <v>7355</v>
      </c>
      <c r="H51" s="299">
        <v>45815</v>
      </c>
      <c r="I51" s="313"/>
    </row>
    <row r="52" ht="15" spans="1:9">
      <c r="A52" s="300"/>
      <c r="B52" s="298" t="s">
        <v>54</v>
      </c>
      <c r="C52" s="298" t="s">
        <v>57</v>
      </c>
      <c r="D52" s="298" t="s">
        <v>56</v>
      </c>
      <c r="E52" s="298" t="s">
        <v>56</v>
      </c>
      <c r="F52" s="298">
        <v>4200</v>
      </c>
      <c r="G52" s="298">
        <v>5650</v>
      </c>
      <c r="H52" s="299">
        <v>45814</v>
      </c>
      <c r="I52" s="314"/>
    </row>
    <row r="53" ht="15" spans="1:9">
      <c r="A53" s="301"/>
      <c r="B53" s="298" t="s">
        <v>58</v>
      </c>
      <c r="C53" s="298" t="s">
        <v>59</v>
      </c>
      <c r="D53" s="298" t="s">
        <v>56</v>
      </c>
      <c r="E53" s="298" t="s">
        <v>56</v>
      </c>
      <c r="F53" s="298">
        <v>3900</v>
      </c>
      <c r="G53" s="298">
        <v>4850</v>
      </c>
      <c r="H53" s="299">
        <v>45807</v>
      </c>
      <c r="I53" s="314" t="s">
        <v>60</v>
      </c>
    </row>
    <row r="54" ht="15" spans="1:9">
      <c r="A54" s="301"/>
      <c r="B54" s="298" t="s">
        <v>61</v>
      </c>
      <c r="C54" s="298" t="s">
        <v>62</v>
      </c>
      <c r="D54" s="298">
        <v>2860</v>
      </c>
      <c r="E54" s="298">
        <v>4060</v>
      </c>
      <c r="F54" s="298">
        <v>3260</v>
      </c>
      <c r="G54" s="298">
        <v>4310</v>
      </c>
      <c r="H54" s="299">
        <v>45824</v>
      </c>
      <c r="I54" s="314"/>
    </row>
    <row r="55" ht="15" spans="1:9">
      <c r="A55" s="302" t="s">
        <v>25</v>
      </c>
      <c r="B55" s="303" t="s">
        <v>54</v>
      </c>
      <c r="C55" s="303" t="s">
        <v>55</v>
      </c>
      <c r="D55" s="303" t="s">
        <v>56</v>
      </c>
      <c r="E55" s="303" t="s">
        <v>56</v>
      </c>
      <c r="F55" s="303">
        <v>4855</v>
      </c>
      <c r="G55" s="303">
        <v>7355</v>
      </c>
      <c r="H55" s="304">
        <v>45817</v>
      </c>
      <c r="I55" s="313"/>
    </row>
    <row r="56" ht="15" spans="1:9">
      <c r="A56" s="302"/>
      <c r="B56" s="303" t="s">
        <v>54</v>
      </c>
      <c r="C56" s="303" t="s">
        <v>57</v>
      </c>
      <c r="D56" s="303" t="s">
        <v>56</v>
      </c>
      <c r="E56" s="303" t="s">
        <v>56</v>
      </c>
      <c r="F56" s="303">
        <v>4200</v>
      </c>
      <c r="G56" s="303">
        <v>5650</v>
      </c>
      <c r="H56" s="304">
        <v>45817</v>
      </c>
      <c r="I56" s="314"/>
    </row>
    <row r="57" ht="15" spans="1:9">
      <c r="A57" s="302"/>
      <c r="B57" s="303" t="s">
        <v>63</v>
      </c>
      <c r="C57" s="303" t="s">
        <v>64</v>
      </c>
      <c r="D57" s="303">
        <v>3175</v>
      </c>
      <c r="E57" s="303">
        <v>4800</v>
      </c>
      <c r="F57" s="303">
        <v>3675</v>
      </c>
      <c r="G57" s="303">
        <v>5300</v>
      </c>
      <c r="H57" s="304">
        <v>45801</v>
      </c>
      <c r="I57" s="314" t="s">
        <v>65</v>
      </c>
    </row>
    <row r="58" ht="15" spans="1:9">
      <c r="A58" s="302"/>
      <c r="B58" s="303" t="s">
        <v>63</v>
      </c>
      <c r="C58" s="303" t="s">
        <v>62</v>
      </c>
      <c r="D58" s="303">
        <v>2860</v>
      </c>
      <c r="E58" s="303">
        <v>4060</v>
      </c>
      <c r="F58" s="303">
        <v>3260</v>
      </c>
      <c r="G58" s="303">
        <v>4310</v>
      </c>
      <c r="H58" s="304">
        <v>45826</v>
      </c>
      <c r="I58" s="314"/>
    </row>
    <row r="59" ht="15" spans="1:9">
      <c r="A59" s="305" t="s">
        <v>29</v>
      </c>
      <c r="B59" s="303" t="s">
        <v>58</v>
      </c>
      <c r="C59" s="303" t="s">
        <v>66</v>
      </c>
      <c r="D59" s="303" t="s">
        <v>56</v>
      </c>
      <c r="E59" s="303" t="s">
        <v>56</v>
      </c>
      <c r="F59" s="303">
        <v>3600</v>
      </c>
      <c r="G59" s="303">
        <v>4650</v>
      </c>
      <c r="H59" s="304">
        <v>45809</v>
      </c>
      <c r="I59" s="314"/>
    </row>
    <row r="60" ht="15" spans="1:9">
      <c r="A60" s="306" t="s">
        <v>34</v>
      </c>
      <c r="B60" s="307" t="s">
        <v>54</v>
      </c>
      <c r="C60" s="307" t="s">
        <v>55</v>
      </c>
      <c r="D60" s="307" t="s">
        <v>56</v>
      </c>
      <c r="E60" s="307" t="s">
        <v>56</v>
      </c>
      <c r="F60" s="307">
        <v>4855</v>
      </c>
      <c r="G60" s="307">
        <v>7355</v>
      </c>
      <c r="H60" s="308">
        <v>45819</v>
      </c>
      <c r="I60" s="313"/>
    </row>
    <row r="61" ht="15" spans="1:9">
      <c r="A61" s="309"/>
      <c r="B61" s="307" t="s">
        <v>54</v>
      </c>
      <c r="C61" s="307" t="s">
        <v>57</v>
      </c>
      <c r="D61" s="307" t="s">
        <v>56</v>
      </c>
      <c r="E61" s="307" t="s">
        <v>56</v>
      </c>
      <c r="F61" s="307">
        <v>4200</v>
      </c>
      <c r="G61" s="307">
        <v>5650</v>
      </c>
      <c r="H61" s="308">
        <v>45819</v>
      </c>
      <c r="I61" s="314"/>
    </row>
    <row r="62" ht="15" spans="1:9">
      <c r="A62" s="310"/>
      <c r="B62" s="307" t="s">
        <v>63</v>
      </c>
      <c r="C62" s="307" t="s">
        <v>64</v>
      </c>
      <c r="D62" s="307">
        <v>3175</v>
      </c>
      <c r="E62" s="307">
        <v>4800</v>
      </c>
      <c r="F62" s="307">
        <v>3675</v>
      </c>
      <c r="G62" s="307">
        <v>5300</v>
      </c>
      <c r="H62" s="308">
        <v>45803</v>
      </c>
      <c r="I62" s="314" t="s">
        <v>65</v>
      </c>
    </row>
    <row r="63" ht="15" spans="1:9">
      <c r="A63" s="300" t="s">
        <v>13</v>
      </c>
      <c r="B63" s="298" t="s">
        <v>54</v>
      </c>
      <c r="C63" s="298" t="s">
        <v>55</v>
      </c>
      <c r="D63" s="298" t="s">
        <v>56</v>
      </c>
      <c r="E63" s="298" t="s">
        <v>56</v>
      </c>
      <c r="F63" s="298">
        <v>4855</v>
      </c>
      <c r="G63" s="298">
        <v>7355</v>
      </c>
      <c r="H63" s="299">
        <v>45822</v>
      </c>
      <c r="I63" s="313"/>
    </row>
    <row r="64" ht="15" spans="1:9">
      <c r="A64" s="300"/>
      <c r="B64" s="298" t="s">
        <v>54</v>
      </c>
      <c r="C64" s="298" t="s">
        <v>57</v>
      </c>
      <c r="D64" s="298" t="s">
        <v>56</v>
      </c>
      <c r="E64" s="298" t="s">
        <v>56</v>
      </c>
      <c r="F64" s="298">
        <v>4200</v>
      </c>
      <c r="G64" s="298">
        <v>5650</v>
      </c>
      <c r="H64" s="299">
        <v>45822</v>
      </c>
      <c r="I64" s="314"/>
    </row>
    <row r="65" ht="15" spans="1:9">
      <c r="A65" s="300"/>
      <c r="B65" s="298" t="s">
        <v>63</v>
      </c>
      <c r="C65" s="298" t="s">
        <v>64</v>
      </c>
      <c r="D65" s="298">
        <v>3175</v>
      </c>
      <c r="E65" s="298">
        <v>4800</v>
      </c>
      <c r="F65" s="298">
        <v>3825</v>
      </c>
      <c r="G65" s="298">
        <v>5700</v>
      </c>
      <c r="H65" s="299">
        <v>45809</v>
      </c>
      <c r="I65" s="345" t="s">
        <v>65</v>
      </c>
    </row>
    <row r="66" ht="15" spans="1:9">
      <c r="A66" s="300"/>
      <c r="B66" s="298" t="s">
        <v>63</v>
      </c>
      <c r="C66" s="298" t="s">
        <v>62</v>
      </c>
      <c r="D66" s="298">
        <v>2860</v>
      </c>
      <c r="E66" s="298">
        <v>4060</v>
      </c>
      <c r="F66" s="298">
        <v>3260</v>
      </c>
      <c r="G66" s="298">
        <v>4310</v>
      </c>
      <c r="H66" s="299">
        <v>45830</v>
      </c>
      <c r="I66" s="314"/>
    </row>
    <row r="67" ht="15" spans="1:9">
      <c r="A67" s="309" t="s">
        <v>20</v>
      </c>
      <c r="B67" s="307" t="s">
        <v>63</v>
      </c>
      <c r="C67" s="307" t="s">
        <v>64</v>
      </c>
      <c r="D67" s="307">
        <v>3175</v>
      </c>
      <c r="E67" s="307">
        <v>4800</v>
      </c>
      <c r="F67" s="307">
        <v>3675</v>
      </c>
      <c r="G67" s="307">
        <v>5300</v>
      </c>
      <c r="H67" s="308">
        <v>45806</v>
      </c>
      <c r="I67" s="314" t="s">
        <v>65</v>
      </c>
    </row>
    <row r="68" ht="15" spans="1:9">
      <c r="A68" s="302" t="s">
        <v>42</v>
      </c>
      <c r="B68" s="303" t="s">
        <v>63</v>
      </c>
      <c r="C68" s="303" t="s">
        <v>64</v>
      </c>
      <c r="D68" s="303">
        <f>(D57+550)+50</f>
        <v>3775</v>
      </c>
      <c r="E68" s="303">
        <f>(E57+800)+100</f>
        <v>5700</v>
      </c>
      <c r="F68" s="303">
        <f>(F57+550)+50</f>
        <v>4275</v>
      </c>
      <c r="G68" s="303">
        <f>(G57+800)+100</f>
        <v>6200</v>
      </c>
      <c r="H68" s="304" t="s">
        <v>67</v>
      </c>
      <c r="I68" s="314" t="s">
        <v>68</v>
      </c>
    </row>
    <row r="69" ht="15" spans="1:9">
      <c r="A69" s="302"/>
      <c r="B69" s="303" t="s">
        <v>63</v>
      </c>
      <c r="C69" s="303" t="s">
        <v>62</v>
      </c>
      <c r="D69" s="303">
        <v>3060</v>
      </c>
      <c r="E69" s="303">
        <v>4260</v>
      </c>
      <c r="F69" s="303">
        <v>3460</v>
      </c>
      <c r="G69" s="303">
        <v>4510</v>
      </c>
      <c r="H69" s="304">
        <v>45821</v>
      </c>
      <c r="I69" s="314"/>
    </row>
    <row r="70" ht="15" spans="1:9">
      <c r="A70" s="302" t="s">
        <v>69</v>
      </c>
      <c r="B70" s="303" t="s">
        <v>58</v>
      </c>
      <c r="C70" s="303" t="s">
        <v>66</v>
      </c>
      <c r="D70" s="303" t="s">
        <v>56</v>
      </c>
      <c r="E70" s="303" t="s">
        <v>56</v>
      </c>
      <c r="F70" s="303">
        <v>3600</v>
      </c>
      <c r="G70" s="303">
        <v>4650</v>
      </c>
      <c r="H70" s="304">
        <v>45812</v>
      </c>
      <c r="I70" s="314"/>
    </row>
    <row r="71" ht="15" spans="1:9">
      <c r="A71" s="300" t="s">
        <v>44</v>
      </c>
      <c r="B71" s="298" t="s">
        <v>58</v>
      </c>
      <c r="C71" s="298" t="s">
        <v>66</v>
      </c>
      <c r="D71" s="298" t="s">
        <v>56</v>
      </c>
      <c r="E71" s="298" t="s">
        <v>56</v>
      </c>
      <c r="F71" s="298">
        <v>3600</v>
      </c>
      <c r="G71" s="298">
        <v>4650</v>
      </c>
      <c r="H71" s="299">
        <v>45805</v>
      </c>
      <c r="I71" s="314"/>
    </row>
    <row r="72" spans="1:8">
      <c r="A72" s="283" t="s">
        <v>45</v>
      </c>
      <c r="B72" s="315" t="s">
        <v>70</v>
      </c>
      <c r="C72" s="316"/>
      <c r="D72" s="316"/>
      <c r="E72" s="316"/>
      <c r="F72" s="316"/>
      <c r="G72" s="316"/>
      <c r="H72" s="317"/>
    </row>
    <row r="73" ht="117" customHeight="1" spans="1:8">
      <c r="A73" s="287"/>
      <c r="B73" s="318"/>
      <c r="C73" s="319"/>
      <c r="D73" s="319"/>
      <c r="E73" s="319"/>
      <c r="F73" s="319"/>
      <c r="G73" s="319"/>
      <c r="H73" s="320"/>
    </row>
    <row r="76" ht="46.5" spans="1:8">
      <c r="A76" s="321" t="s">
        <v>71</v>
      </c>
      <c r="B76" s="322"/>
      <c r="C76" s="322"/>
      <c r="D76" s="322"/>
      <c r="E76" s="322"/>
      <c r="F76" s="322"/>
      <c r="G76" s="322"/>
      <c r="H76" s="322"/>
    </row>
    <row r="77" ht="18" spans="1:8">
      <c r="A77" s="323" t="s">
        <v>3</v>
      </c>
      <c r="B77" s="323" t="s">
        <v>72</v>
      </c>
      <c r="C77" s="323" t="s">
        <v>73</v>
      </c>
      <c r="D77" s="323" t="s">
        <v>74</v>
      </c>
      <c r="E77" s="323" t="s">
        <v>8</v>
      </c>
      <c r="F77" s="323" t="s">
        <v>75</v>
      </c>
      <c r="G77" s="323" t="s">
        <v>76</v>
      </c>
      <c r="H77" s="323" t="s">
        <v>77</v>
      </c>
    </row>
    <row r="78" ht="16.5" spans="1:8">
      <c r="A78" s="324" t="s">
        <v>78</v>
      </c>
      <c r="B78" s="325" t="s">
        <v>37</v>
      </c>
      <c r="C78" s="326" t="s">
        <v>79</v>
      </c>
      <c r="D78" s="327" t="s">
        <v>80</v>
      </c>
      <c r="E78" s="328" t="s">
        <v>81</v>
      </c>
      <c r="F78" s="327" t="s">
        <v>82</v>
      </c>
      <c r="G78" s="327" t="s">
        <v>83</v>
      </c>
      <c r="H78" s="329" t="s">
        <v>84</v>
      </c>
    </row>
    <row r="79" ht="16.5" spans="1:8">
      <c r="A79" s="330"/>
      <c r="B79" s="325" t="s">
        <v>29</v>
      </c>
      <c r="C79" s="326" t="s">
        <v>79</v>
      </c>
      <c r="D79" s="327" t="s">
        <v>80</v>
      </c>
      <c r="E79" s="331" t="s">
        <v>85</v>
      </c>
      <c r="F79" s="327" t="s">
        <v>82</v>
      </c>
      <c r="G79" s="327" t="s">
        <v>83</v>
      </c>
      <c r="H79" s="332"/>
    </row>
    <row r="80" ht="16.5" spans="1:8">
      <c r="A80" s="330"/>
      <c r="B80" s="325" t="s">
        <v>34</v>
      </c>
      <c r="C80" s="326" t="s">
        <v>79</v>
      </c>
      <c r="D80" s="327" t="s">
        <v>80</v>
      </c>
      <c r="E80" s="333" t="s">
        <v>86</v>
      </c>
      <c r="F80" s="327" t="s">
        <v>82</v>
      </c>
      <c r="G80" s="327" t="s">
        <v>83</v>
      </c>
      <c r="H80" s="332"/>
    </row>
    <row r="81" ht="17.25" spans="1:8">
      <c r="A81" s="334"/>
      <c r="B81" s="325" t="s">
        <v>13</v>
      </c>
      <c r="C81" s="326" t="s">
        <v>79</v>
      </c>
      <c r="D81" s="327" t="s">
        <v>80</v>
      </c>
      <c r="E81" s="335" t="s">
        <v>32</v>
      </c>
      <c r="F81" s="327" t="s">
        <v>82</v>
      </c>
      <c r="G81" s="327" t="s">
        <v>83</v>
      </c>
      <c r="H81" s="336"/>
    </row>
    <row r="82" ht="16.5" spans="1:8">
      <c r="A82" s="337" t="s">
        <v>87</v>
      </c>
      <c r="B82" s="325" t="s">
        <v>34</v>
      </c>
      <c r="C82" s="326" t="s">
        <v>88</v>
      </c>
      <c r="D82" s="327" t="s">
        <v>80</v>
      </c>
      <c r="E82" s="338" t="s">
        <v>89</v>
      </c>
      <c r="F82" s="327" t="s">
        <v>90</v>
      </c>
      <c r="G82" s="327" t="s">
        <v>91</v>
      </c>
      <c r="H82" s="332" t="s">
        <v>92</v>
      </c>
    </row>
    <row r="83" ht="16.5" spans="1:8">
      <c r="A83" s="337"/>
      <c r="B83" s="325" t="s">
        <v>25</v>
      </c>
      <c r="C83" s="326" t="s">
        <v>88</v>
      </c>
      <c r="D83" s="327" t="s">
        <v>80</v>
      </c>
      <c r="E83" s="338" t="s">
        <v>93</v>
      </c>
      <c r="F83" s="327" t="s">
        <v>90</v>
      </c>
      <c r="G83" s="327" t="s">
        <v>91</v>
      </c>
      <c r="H83" s="332"/>
    </row>
    <row r="84" ht="16.5" spans="1:8">
      <c r="A84" s="337"/>
      <c r="B84" s="325" t="s">
        <v>20</v>
      </c>
      <c r="C84" s="326" t="s">
        <v>88</v>
      </c>
      <c r="D84" s="327" t="s">
        <v>80</v>
      </c>
      <c r="E84" s="338" t="s">
        <v>94</v>
      </c>
      <c r="F84" s="327" t="s">
        <v>90</v>
      </c>
      <c r="G84" s="327" t="s">
        <v>91</v>
      </c>
      <c r="H84" s="332"/>
    </row>
    <row r="85" ht="16.5" spans="1:8">
      <c r="A85" s="324"/>
      <c r="B85" s="339" t="s">
        <v>13</v>
      </c>
      <c r="C85" s="340" t="s">
        <v>88</v>
      </c>
      <c r="D85" s="341" t="s">
        <v>80</v>
      </c>
      <c r="E85" s="338" t="s">
        <v>24</v>
      </c>
      <c r="F85" s="341" t="s">
        <v>90</v>
      </c>
      <c r="G85" s="341" t="s">
        <v>91</v>
      </c>
      <c r="H85" s="332"/>
    </row>
    <row r="86" ht="16.5" spans="1:8">
      <c r="A86" s="337" t="s">
        <v>95</v>
      </c>
      <c r="B86" s="325" t="s">
        <v>29</v>
      </c>
      <c r="C86" s="326" t="s">
        <v>96</v>
      </c>
      <c r="D86" s="327" t="s">
        <v>80</v>
      </c>
      <c r="E86" s="327" t="s">
        <v>97</v>
      </c>
      <c r="F86" s="327" t="s">
        <v>98</v>
      </c>
      <c r="G86" s="327" t="s">
        <v>99</v>
      </c>
      <c r="H86" s="342" t="s">
        <v>92</v>
      </c>
    </row>
    <row r="87" ht="16.5" spans="1:8">
      <c r="A87" s="337"/>
      <c r="B87" s="325" t="s">
        <v>13</v>
      </c>
      <c r="C87" s="326" t="s">
        <v>96</v>
      </c>
      <c r="D87" s="327" t="s">
        <v>80</v>
      </c>
      <c r="E87" s="327" t="s">
        <v>32</v>
      </c>
      <c r="F87" s="327" t="s">
        <v>98</v>
      </c>
      <c r="G87" s="327" t="s">
        <v>99</v>
      </c>
      <c r="H87" s="342"/>
    </row>
    <row r="88" ht="16.5" spans="1:8">
      <c r="A88" s="337"/>
      <c r="B88" s="325" t="s">
        <v>37</v>
      </c>
      <c r="C88" s="326" t="s">
        <v>96</v>
      </c>
      <c r="D88" s="327" t="s">
        <v>80</v>
      </c>
      <c r="E88" s="327" t="s">
        <v>100</v>
      </c>
      <c r="F88" s="327" t="s">
        <v>101</v>
      </c>
      <c r="G88" s="327" t="s">
        <v>102</v>
      </c>
      <c r="H88" s="342"/>
    </row>
    <row r="89" ht="16.5" spans="1:8">
      <c r="A89" s="337"/>
      <c r="B89" s="325" t="s">
        <v>34</v>
      </c>
      <c r="C89" s="326" t="s">
        <v>96</v>
      </c>
      <c r="D89" s="341" t="s">
        <v>80</v>
      </c>
      <c r="E89" s="327" t="s">
        <v>103</v>
      </c>
      <c r="F89" s="327" t="s">
        <v>101</v>
      </c>
      <c r="G89" s="327" t="s">
        <v>102</v>
      </c>
      <c r="H89" s="342"/>
    </row>
    <row r="90" ht="16.5" spans="1:8">
      <c r="A90" s="337"/>
      <c r="B90" s="325" t="s">
        <v>42</v>
      </c>
      <c r="C90" s="326" t="s">
        <v>104</v>
      </c>
      <c r="D90" s="327" t="s">
        <v>80</v>
      </c>
      <c r="E90" s="327" t="s">
        <v>105</v>
      </c>
      <c r="F90" s="327" t="s">
        <v>101</v>
      </c>
      <c r="G90" s="327" t="s">
        <v>102</v>
      </c>
      <c r="H90" s="342"/>
    </row>
    <row r="91" ht="16.5" spans="1:8">
      <c r="A91" s="337"/>
      <c r="B91" s="325" t="s">
        <v>106</v>
      </c>
      <c r="C91" s="326" t="s">
        <v>104</v>
      </c>
      <c r="D91" s="327" t="s">
        <v>80</v>
      </c>
      <c r="E91" s="327" t="s">
        <v>103</v>
      </c>
      <c r="F91" s="327" t="s">
        <v>101</v>
      </c>
      <c r="G91" s="327" t="s">
        <v>102</v>
      </c>
      <c r="H91" s="342"/>
    </row>
    <row r="92" ht="16.5" spans="1:8">
      <c r="A92" s="337"/>
      <c r="B92" s="325" t="s">
        <v>107</v>
      </c>
      <c r="C92" s="326" t="s">
        <v>108</v>
      </c>
      <c r="D92" s="341" t="s">
        <v>80</v>
      </c>
      <c r="E92" s="327" t="s">
        <v>103</v>
      </c>
      <c r="F92" s="327" t="s">
        <v>101</v>
      </c>
      <c r="G92" s="327" t="s">
        <v>102</v>
      </c>
      <c r="H92" s="342"/>
    </row>
    <row r="93" ht="16.5" spans="1:8">
      <c r="A93" s="337"/>
      <c r="B93" s="325" t="s">
        <v>109</v>
      </c>
      <c r="C93" s="326" t="s">
        <v>108</v>
      </c>
      <c r="D93" s="327" t="s">
        <v>80</v>
      </c>
      <c r="E93" s="327" t="s">
        <v>103</v>
      </c>
      <c r="F93" s="327" t="s">
        <v>101</v>
      </c>
      <c r="G93" s="327" t="s">
        <v>102</v>
      </c>
      <c r="H93" s="342"/>
    </row>
    <row r="94" ht="16.5" spans="1:8">
      <c r="A94" s="337"/>
      <c r="B94" s="325" t="s">
        <v>110</v>
      </c>
      <c r="C94" s="326" t="s">
        <v>108</v>
      </c>
      <c r="D94" s="327" t="s">
        <v>80</v>
      </c>
      <c r="E94" s="327" t="s">
        <v>103</v>
      </c>
      <c r="F94" s="327" t="s">
        <v>101</v>
      </c>
      <c r="G94" s="327" t="s">
        <v>102</v>
      </c>
      <c r="H94" s="342"/>
    </row>
    <row r="95" ht="16.5" spans="1:8">
      <c r="A95" s="337"/>
      <c r="B95" s="325" t="s">
        <v>111</v>
      </c>
      <c r="C95" s="326" t="s">
        <v>108</v>
      </c>
      <c r="D95" s="327" t="s">
        <v>80</v>
      </c>
      <c r="E95" s="327" t="s">
        <v>103</v>
      </c>
      <c r="F95" s="327" t="s">
        <v>101</v>
      </c>
      <c r="G95" s="327" t="s">
        <v>102</v>
      </c>
      <c r="H95" s="342"/>
    </row>
    <row r="96" ht="16.5" spans="1:8">
      <c r="A96" s="343"/>
      <c r="B96" s="343"/>
      <c r="C96" s="343"/>
      <c r="D96" s="343"/>
      <c r="E96" s="343"/>
      <c r="F96" s="343"/>
      <c r="G96" s="344"/>
      <c r="H96" s="344"/>
    </row>
    <row r="97" ht="16.5" spans="1:8">
      <c r="A97" s="343" t="s">
        <v>112</v>
      </c>
      <c r="B97" s="343"/>
      <c r="C97" s="343"/>
      <c r="D97" s="343"/>
      <c r="E97" s="343"/>
      <c r="F97" s="343"/>
      <c r="G97" s="344"/>
      <c r="H97" s="344"/>
    </row>
    <row r="98" ht="16.5" spans="1:8">
      <c r="A98" s="343" t="s">
        <v>113</v>
      </c>
      <c r="B98" s="343"/>
      <c r="C98" s="343"/>
      <c r="D98" s="343"/>
      <c r="E98" s="343"/>
      <c r="F98" s="343"/>
      <c r="G98" s="344"/>
      <c r="H98" s="344"/>
    </row>
    <row r="99" ht="16.5" spans="1:8">
      <c r="A99" s="343" t="s">
        <v>114</v>
      </c>
      <c r="B99" s="343"/>
      <c r="C99" s="343"/>
      <c r="D99" s="343"/>
      <c r="E99" s="343"/>
      <c r="F99" s="343"/>
      <c r="G99" s="344"/>
      <c r="H99" s="344"/>
    </row>
  </sheetData>
  <mergeCells count="27">
    <mergeCell ref="B46:H46"/>
    <mergeCell ref="A49:H49"/>
    <mergeCell ref="A76:H76"/>
    <mergeCell ref="A4:A5"/>
    <mergeCell ref="A8:A10"/>
    <mergeCell ref="A11:A16"/>
    <mergeCell ref="A17:A19"/>
    <mergeCell ref="A20:A23"/>
    <mergeCell ref="A24:A26"/>
    <mergeCell ref="A27:A35"/>
    <mergeCell ref="A36:A40"/>
    <mergeCell ref="A41:A43"/>
    <mergeCell ref="A44:A45"/>
    <mergeCell ref="A51:A54"/>
    <mergeCell ref="A55:A58"/>
    <mergeCell ref="A60:A62"/>
    <mergeCell ref="A63:A66"/>
    <mergeCell ref="A68:A69"/>
    <mergeCell ref="A72:A73"/>
    <mergeCell ref="A78:A81"/>
    <mergeCell ref="A82:A85"/>
    <mergeCell ref="A86:A95"/>
    <mergeCell ref="H78:H81"/>
    <mergeCell ref="H82:H85"/>
    <mergeCell ref="H86:H95"/>
    <mergeCell ref="B44:H45"/>
    <mergeCell ref="B72:H73"/>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9"/>
  <sheetViews>
    <sheetView zoomScale="85" zoomScaleNormal="85" topLeftCell="A214" workbookViewId="0">
      <selection activeCell="M303" sqref="M303"/>
    </sheetView>
  </sheetViews>
  <sheetFormatPr defaultColWidth="9" defaultRowHeight="13.5" outlineLevelCol="5"/>
  <cols>
    <col min="1" max="1" width="38.9583333333333" customWidth="1"/>
    <col min="2" max="2" width="70.25" style="60" customWidth="1"/>
    <col min="3" max="3" width="20.25" customWidth="1"/>
    <col min="4" max="4" width="20.25" style="61" customWidth="1"/>
    <col min="5" max="5" width="22.125" customWidth="1"/>
    <col min="6" max="6" width="26.25" style="62" customWidth="1"/>
  </cols>
  <sheetData>
    <row r="1" ht="36" customHeight="1" spans="1:6">
      <c r="A1" s="63" t="s">
        <v>115</v>
      </c>
      <c r="B1" s="64" t="s">
        <v>116</v>
      </c>
      <c r="C1" s="65" t="s">
        <v>117</v>
      </c>
      <c r="D1" s="63" t="s">
        <v>118</v>
      </c>
      <c r="E1" s="65" t="s">
        <v>8</v>
      </c>
      <c r="F1" s="63" t="s">
        <v>77</v>
      </c>
    </row>
    <row r="2" spans="1:6">
      <c r="A2" s="66" t="s">
        <v>119</v>
      </c>
      <c r="B2" s="67" t="s">
        <v>120</v>
      </c>
      <c r="C2" s="68" t="s">
        <v>121</v>
      </c>
      <c r="D2" s="68">
        <v>4900</v>
      </c>
      <c r="E2" s="69">
        <v>5.29</v>
      </c>
      <c r="F2" s="69"/>
    </row>
    <row r="3" spans="1:6">
      <c r="A3" s="66" t="s">
        <v>122</v>
      </c>
      <c r="B3" s="67"/>
      <c r="C3" s="68"/>
      <c r="D3" s="68">
        <v>5250</v>
      </c>
      <c r="E3" s="68"/>
      <c r="F3" s="70"/>
    </row>
    <row r="4" spans="1:6">
      <c r="A4" s="66" t="s">
        <v>123</v>
      </c>
      <c r="B4" s="67"/>
      <c r="C4" s="68"/>
      <c r="D4" s="68">
        <v>4650</v>
      </c>
      <c r="E4" s="68"/>
      <c r="F4" s="70"/>
    </row>
    <row r="5" spans="1:6">
      <c r="A5" s="66" t="s">
        <v>124</v>
      </c>
      <c r="B5" s="67"/>
      <c r="C5" s="68"/>
      <c r="D5" s="68">
        <v>4750</v>
      </c>
      <c r="E5" s="68"/>
      <c r="F5" s="70"/>
    </row>
    <row r="6" spans="1:6">
      <c r="A6" s="66" t="s">
        <v>125</v>
      </c>
      <c r="B6" s="67"/>
      <c r="C6" s="68"/>
      <c r="D6" s="68">
        <v>4300</v>
      </c>
      <c r="E6" s="68"/>
      <c r="F6" s="70"/>
    </row>
    <row r="7" spans="1:6">
      <c r="A7" s="66"/>
      <c r="B7" s="71"/>
      <c r="C7" s="72"/>
      <c r="D7" s="68"/>
      <c r="E7" s="72"/>
      <c r="F7" s="73"/>
    </row>
    <row r="8" spans="1:6">
      <c r="A8" s="66" t="s">
        <v>126</v>
      </c>
      <c r="B8" s="74" t="s">
        <v>127</v>
      </c>
      <c r="C8" s="75" t="s">
        <v>121</v>
      </c>
      <c r="D8" s="68">
        <v>4650</v>
      </c>
      <c r="E8" s="75">
        <v>5.27</v>
      </c>
      <c r="F8" s="76"/>
    </row>
    <row r="9" spans="1:6">
      <c r="A9" s="66" t="s">
        <v>128</v>
      </c>
      <c r="B9" s="77"/>
      <c r="C9" s="78"/>
      <c r="D9" s="68">
        <v>4800</v>
      </c>
      <c r="E9" s="78"/>
      <c r="F9" s="76"/>
    </row>
    <row r="10" spans="1:6">
      <c r="A10" s="66" t="s">
        <v>129</v>
      </c>
      <c r="B10" s="77"/>
      <c r="C10" s="78"/>
      <c r="D10" s="68">
        <v>4950</v>
      </c>
      <c r="E10" s="78"/>
      <c r="F10" s="76"/>
    </row>
    <row r="11" spans="1:6">
      <c r="A11" s="66" t="s">
        <v>130</v>
      </c>
      <c r="B11" s="77"/>
      <c r="C11" s="78"/>
      <c r="D11" s="68">
        <v>4650</v>
      </c>
      <c r="E11" s="78"/>
      <c r="F11" s="76"/>
    </row>
    <row r="12" spans="1:6">
      <c r="A12" s="66" t="s">
        <v>131</v>
      </c>
      <c r="B12" s="79"/>
      <c r="C12" s="80"/>
      <c r="D12" s="68">
        <v>4600</v>
      </c>
      <c r="E12" s="80"/>
      <c r="F12" s="81"/>
    </row>
    <row r="13" spans="1:6">
      <c r="A13" s="66"/>
      <c r="B13" s="79"/>
      <c r="C13" s="80"/>
      <c r="D13" s="68"/>
      <c r="E13" s="80"/>
      <c r="F13" s="81"/>
    </row>
    <row r="14" spans="1:6">
      <c r="A14" s="66"/>
      <c r="B14" s="79"/>
      <c r="C14" s="80"/>
      <c r="D14" s="68"/>
      <c r="E14" s="80"/>
      <c r="F14" s="81"/>
    </row>
    <row r="15" spans="1:6">
      <c r="A15" s="66" t="s">
        <v>132</v>
      </c>
      <c r="B15" s="77" t="s">
        <v>133</v>
      </c>
      <c r="C15" s="78" t="s">
        <v>121</v>
      </c>
      <c r="D15" s="68">
        <v>4900</v>
      </c>
      <c r="E15" s="82">
        <v>5.3</v>
      </c>
      <c r="F15" s="83" t="s">
        <v>134</v>
      </c>
    </row>
    <row r="16" spans="1:6">
      <c r="A16" s="66" t="s">
        <v>135</v>
      </c>
      <c r="B16" s="77"/>
      <c r="C16" s="78"/>
      <c r="D16" s="68">
        <v>5200</v>
      </c>
      <c r="E16" s="78"/>
      <c r="F16" s="76"/>
    </row>
    <row r="17" spans="1:6">
      <c r="A17" s="66" t="s">
        <v>136</v>
      </c>
      <c r="B17" s="77"/>
      <c r="C17" s="78"/>
      <c r="D17" s="68">
        <v>5250</v>
      </c>
      <c r="E17" s="78"/>
      <c r="F17" s="76"/>
    </row>
    <row r="18" spans="1:6">
      <c r="A18" s="66" t="s">
        <v>137</v>
      </c>
      <c r="B18" s="77"/>
      <c r="C18" s="78"/>
      <c r="D18" s="68">
        <v>5550</v>
      </c>
      <c r="E18" s="78"/>
      <c r="F18" s="76"/>
    </row>
    <row r="19" spans="1:6">
      <c r="A19" s="66" t="s">
        <v>138</v>
      </c>
      <c r="B19" s="77"/>
      <c r="C19" s="78"/>
      <c r="D19" s="68">
        <v>5350</v>
      </c>
      <c r="E19" s="78"/>
      <c r="F19" s="76"/>
    </row>
    <row r="20" spans="1:6">
      <c r="A20" s="66" t="s">
        <v>139</v>
      </c>
      <c r="B20" s="77"/>
      <c r="C20" s="78"/>
      <c r="D20" s="68">
        <v>5400</v>
      </c>
      <c r="E20" s="78"/>
      <c r="F20" s="76"/>
    </row>
    <row r="21" spans="1:6">
      <c r="A21" s="66" t="s">
        <v>140</v>
      </c>
      <c r="B21" s="79"/>
      <c r="C21" s="80"/>
      <c r="D21" s="68">
        <v>5400</v>
      </c>
      <c r="E21" s="80"/>
      <c r="F21" s="81"/>
    </row>
    <row r="22" spans="1:6">
      <c r="A22" s="66"/>
      <c r="B22" s="79"/>
      <c r="C22" s="80"/>
      <c r="D22" s="68"/>
      <c r="E22" s="80"/>
      <c r="F22" s="81"/>
    </row>
    <row r="23" spans="1:6">
      <c r="A23" s="66" t="s">
        <v>141</v>
      </c>
      <c r="B23" s="77" t="s">
        <v>142</v>
      </c>
      <c r="C23" s="78" t="s">
        <v>121</v>
      </c>
      <c r="D23" s="68">
        <v>5050</v>
      </c>
      <c r="E23" s="78">
        <v>5.31</v>
      </c>
      <c r="F23" s="81"/>
    </row>
    <row r="24" spans="1:6">
      <c r="A24" s="66" t="s">
        <v>139</v>
      </c>
      <c r="B24" s="77"/>
      <c r="C24" s="78"/>
      <c r="D24" s="68">
        <v>5100</v>
      </c>
      <c r="E24" s="78"/>
      <c r="F24" s="81"/>
    </row>
    <row r="25" spans="1:6">
      <c r="A25" s="66" t="s">
        <v>143</v>
      </c>
      <c r="B25" s="77"/>
      <c r="C25" s="78"/>
      <c r="D25" s="68">
        <v>5200</v>
      </c>
      <c r="E25" s="78"/>
      <c r="F25" s="81"/>
    </row>
    <row r="26" spans="1:6">
      <c r="A26" s="66" t="s">
        <v>144</v>
      </c>
      <c r="B26" s="77"/>
      <c r="C26" s="78"/>
      <c r="D26" s="68">
        <v>5100</v>
      </c>
      <c r="E26" s="78"/>
      <c r="F26" s="81"/>
    </row>
    <row r="27" spans="1:6">
      <c r="A27" s="66" t="s">
        <v>145</v>
      </c>
      <c r="B27" s="77"/>
      <c r="C27" s="78"/>
      <c r="D27" s="68">
        <v>5250</v>
      </c>
      <c r="E27" s="78"/>
      <c r="F27" s="81"/>
    </row>
    <row r="28" spans="1:6">
      <c r="A28" s="66" t="s">
        <v>146</v>
      </c>
      <c r="B28" s="79"/>
      <c r="C28" s="80"/>
      <c r="D28" s="68">
        <v>5200</v>
      </c>
      <c r="E28" s="80"/>
      <c r="F28" s="81"/>
    </row>
    <row r="29" spans="1:6">
      <c r="A29" s="66"/>
      <c r="B29" s="79"/>
      <c r="C29" s="80"/>
      <c r="D29" s="68"/>
      <c r="E29" s="80"/>
      <c r="F29" s="81"/>
    </row>
    <row r="30" spans="1:6">
      <c r="A30" s="66" t="s">
        <v>147</v>
      </c>
      <c r="B30" s="77" t="s">
        <v>148</v>
      </c>
      <c r="C30" s="78" t="s">
        <v>121</v>
      </c>
      <c r="D30" s="68">
        <v>4550</v>
      </c>
      <c r="E30" s="78">
        <v>5.25</v>
      </c>
      <c r="F30" s="81"/>
    </row>
    <row r="31" spans="1:6">
      <c r="A31" s="66" t="s">
        <v>149</v>
      </c>
      <c r="B31" s="77"/>
      <c r="C31" s="78"/>
      <c r="D31" s="68">
        <v>4450</v>
      </c>
      <c r="E31" s="78"/>
      <c r="F31" s="81"/>
    </row>
    <row r="32" spans="1:6">
      <c r="A32" s="66" t="s">
        <v>150</v>
      </c>
      <c r="B32" s="77"/>
      <c r="C32" s="78"/>
      <c r="D32" s="68">
        <v>4550</v>
      </c>
      <c r="E32" s="78"/>
      <c r="F32" s="81"/>
    </row>
    <row r="33" spans="1:6">
      <c r="A33" s="66" t="s">
        <v>151</v>
      </c>
      <c r="B33" s="77"/>
      <c r="C33" s="78"/>
      <c r="D33" s="68">
        <v>4750</v>
      </c>
      <c r="E33" s="78"/>
      <c r="F33" s="81"/>
    </row>
    <row r="34" spans="1:6">
      <c r="A34" s="66" t="s">
        <v>152</v>
      </c>
      <c r="B34" s="77"/>
      <c r="C34" s="78"/>
      <c r="D34" s="68">
        <v>5000</v>
      </c>
      <c r="E34" s="78"/>
      <c r="F34" s="81"/>
    </row>
    <row r="35" spans="1:6">
      <c r="A35" s="66" t="s">
        <v>153</v>
      </c>
      <c r="B35" s="77"/>
      <c r="C35" s="78"/>
      <c r="D35" s="68">
        <v>4700</v>
      </c>
      <c r="E35" s="78"/>
      <c r="F35" s="81"/>
    </row>
    <row r="36" spans="1:6">
      <c r="A36" s="66" t="s">
        <v>154</v>
      </c>
      <c r="B36" s="77"/>
      <c r="C36" s="78"/>
      <c r="D36" s="68">
        <v>5150</v>
      </c>
      <c r="E36" s="78"/>
      <c r="F36" s="81"/>
    </row>
    <row r="37" spans="1:6">
      <c r="A37" s="66" t="s">
        <v>155</v>
      </c>
      <c r="B37" s="79"/>
      <c r="C37" s="80"/>
      <c r="D37" s="68">
        <v>5000</v>
      </c>
      <c r="E37" s="80"/>
      <c r="F37" s="81"/>
    </row>
    <row r="38" spans="1:6">
      <c r="A38" s="66"/>
      <c r="B38" s="79"/>
      <c r="C38" s="80"/>
      <c r="D38" s="68"/>
      <c r="E38" s="68"/>
      <c r="F38" s="70"/>
    </row>
    <row r="39" spans="1:6">
      <c r="A39" s="66" t="s">
        <v>156</v>
      </c>
      <c r="B39" s="77" t="s">
        <v>157</v>
      </c>
      <c r="C39" s="78" t="s">
        <v>121</v>
      </c>
      <c r="D39" s="68">
        <v>4600</v>
      </c>
      <c r="E39" s="84" t="s">
        <v>158</v>
      </c>
      <c r="F39" s="83" t="s">
        <v>159</v>
      </c>
    </row>
    <row r="40" spans="1:6">
      <c r="A40" s="66" t="s">
        <v>160</v>
      </c>
      <c r="B40" s="77"/>
      <c r="C40" s="78"/>
      <c r="D40" s="68">
        <v>4700</v>
      </c>
      <c r="E40" s="78"/>
      <c r="F40" s="76"/>
    </row>
    <row r="41" spans="1:6">
      <c r="A41" s="66" t="s">
        <v>161</v>
      </c>
      <c r="B41" s="77"/>
      <c r="C41" s="78"/>
      <c r="D41" s="68">
        <v>4750</v>
      </c>
      <c r="E41" s="78"/>
      <c r="F41" s="76"/>
    </row>
    <row r="42" spans="1:6">
      <c r="A42" s="66" t="s">
        <v>162</v>
      </c>
      <c r="B42" s="77"/>
      <c r="C42" s="78"/>
      <c r="D42" s="68">
        <v>4850</v>
      </c>
      <c r="E42" s="78"/>
      <c r="F42" s="76"/>
    </row>
    <row r="43" spans="1:6">
      <c r="A43" s="66" t="s">
        <v>163</v>
      </c>
      <c r="B43" s="77"/>
      <c r="C43" s="78"/>
      <c r="D43" s="68">
        <v>4950</v>
      </c>
      <c r="E43" s="78"/>
      <c r="F43" s="76"/>
    </row>
    <row r="44" spans="1:6">
      <c r="A44" s="66" t="s">
        <v>164</v>
      </c>
      <c r="B44" s="77"/>
      <c r="C44" s="78"/>
      <c r="D44" s="68">
        <v>4850</v>
      </c>
      <c r="E44" s="78"/>
      <c r="F44" s="76"/>
    </row>
    <row r="45" spans="1:6">
      <c r="A45" s="66" t="s">
        <v>165</v>
      </c>
      <c r="B45" s="77"/>
      <c r="C45" s="78"/>
      <c r="D45" s="68">
        <v>5050</v>
      </c>
      <c r="E45" s="78"/>
      <c r="F45" s="76"/>
    </row>
    <row r="46" spans="1:6">
      <c r="A46" s="66" t="s">
        <v>166</v>
      </c>
      <c r="B46" s="79"/>
      <c r="C46" s="80"/>
      <c r="D46" s="68">
        <v>5150</v>
      </c>
      <c r="E46" s="80"/>
      <c r="F46" s="81"/>
    </row>
    <row r="47" spans="1:6">
      <c r="A47" s="66"/>
      <c r="B47" s="67"/>
      <c r="C47" s="68"/>
      <c r="D47" s="68"/>
      <c r="E47" s="68"/>
      <c r="F47" s="70"/>
    </row>
    <row r="48" spans="1:6">
      <c r="A48" s="66" t="s">
        <v>167</v>
      </c>
      <c r="B48" s="85" t="s">
        <v>168</v>
      </c>
      <c r="C48" s="68" t="s">
        <v>121</v>
      </c>
      <c r="D48" s="68">
        <v>4150</v>
      </c>
      <c r="E48" s="70" t="s">
        <v>169</v>
      </c>
      <c r="F48" s="70" t="s">
        <v>170</v>
      </c>
    </row>
    <row r="49" spans="1:6">
      <c r="A49" s="66" t="s">
        <v>171</v>
      </c>
      <c r="B49" s="85"/>
      <c r="C49" s="68"/>
      <c r="D49" s="68">
        <v>4200</v>
      </c>
      <c r="E49" s="68"/>
      <c r="F49" s="70"/>
    </row>
    <row r="50" spans="1:6">
      <c r="A50" s="66" t="s">
        <v>172</v>
      </c>
      <c r="B50" s="85"/>
      <c r="C50" s="68"/>
      <c r="D50" s="68">
        <v>5150</v>
      </c>
      <c r="E50" s="68"/>
      <c r="F50" s="70"/>
    </row>
    <row r="51" spans="1:6">
      <c r="A51" s="66" t="s">
        <v>173</v>
      </c>
      <c r="B51" s="85"/>
      <c r="C51" s="68"/>
      <c r="D51" s="68">
        <v>5550</v>
      </c>
      <c r="E51" s="68"/>
      <c r="F51" s="70"/>
    </row>
    <row r="52" spans="1:6">
      <c r="A52" s="66"/>
      <c r="B52" s="71"/>
      <c r="C52" s="72"/>
      <c r="D52" s="68"/>
      <c r="E52" s="72"/>
      <c r="F52" s="73"/>
    </row>
    <row r="53" spans="1:6">
      <c r="A53" s="66"/>
      <c r="B53" s="71"/>
      <c r="C53" s="72"/>
      <c r="D53" s="68"/>
      <c r="E53" s="72"/>
      <c r="F53" s="73"/>
    </row>
    <row r="54" spans="1:6">
      <c r="A54" s="66" t="s">
        <v>135</v>
      </c>
      <c r="B54" s="86" t="s">
        <v>174</v>
      </c>
      <c r="C54" s="75" t="s">
        <v>121</v>
      </c>
      <c r="D54" s="68">
        <v>5850</v>
      </c>
      <c r="E54" s="87">
        <v>5.3</v>
      </c>
      <c r="F54" s="83" t="s">
        <v>175</v>
      </c>
    </row>
    <row r="55" spans="1:6">
      <c r="A55" s="66" t="s">
        <v>139</v>
      </c>
      <c r="B55" s="88"/>
      <c r="C55" s="78"/>
      <c r="D55" s="68">
        <v>6050</v>
      </c>
      <c r="E55" s="76"/>
      <c r="F55" s="76"/>
    </row>
    <row r="56" spans="1:6">
      <c r="A56" s="66" t="s">
        <v>176</v>
      </c>
      <c r="B56" s="88"/>
      <c r="C56" s="78"/>
      <c r="D56" s="68">
        <v>5850</v>
      </c>
      <c r="E56" s="76"/>
      <c r="F56" s="76"/>
    </row>
    <row r="57" spans="1:6">
      <c r="A57" s="66" t="s">
        <v>140</v>
      </c>
      <c r="B57" s="88"/>
      <c r="C57" s="78"/>
      <c r="D57" s="68">
        <v>5750</v>
      </c>
      <c r="E57" s="76"/>
      <c r="F57" s="76"/>
    </row>
    <row r="58" spans="1:6">
      <c r="A58" s="66" t="s">
        <v>137</v>
      </c>
      <c r="B58" s="88"/>
      <c r="C58" s="78"/>
      <c r="D58" s="68">
        <v>5900</v>
      </c>
      <c r="E58" s="76"/>
      <c r="F58" s="76"/>
    </row>
    <row r="59" spans="1:6">
      <c r="A59" s="66" t="s">
        <v>177</v>
      </c>
      <c r="B59" s="88"/>
      <c r="C59" s="78"/>
      <c r="D59" s="68">
        <v>6000</v>
      </c>
      <c r="E59" s="76"/>
      <c r="F59" s="76"/>
    </row>
    <row r="60" spans="1:6">
      <c r="A60" s="66" t="s">
        <v>173</v>
      </c>
      <c r="B60" s="89"/>
      <c r="C60" s="80"/>
      <c r="D60" s="68">
        <v>6250</v>
      </c>
      <c r="E60" s="81"/>
      <c r="F60" s="81"/>
    </row>
    <row r="61" spans="1:6">
      <c r="A61" s="66"/>
      <c r="B61" s="85"/>
      <c r="C61" s="68"/>
      <c r="D61" s="68"/>
      <c r="E61" s="70"/>
      <c r="F61" s="70"/>
    </row>
    <row r="62" spans="1:6">
      <c r="A62" s="66" t="s">
        <v>178</v>
      </c>
      <c r="B62" s="85" t="s">
        <v>179</v>
      </c>
      <c r="C62" s="68" t="s">
        <v>121</v>
      </c>
      <c r="D62" s="68">
        <v>5150</v>
      </c>
      <c r="E62" s="70">
        <v>5.27</v>
      </c>
      <c r="F62" s="70"/>
    </row>
    <row r="63" spans="1:6">
      <c r="A63" s="66" t="s">
        <v>180</v>
      </c>
      <c r="B63" s="67"/>
      <c r="C63" s="68"/>
      <c r="D63" s="68">
        <v>5200</v>
      </c>
      <c r="E63" s="68"/>
      <c r="F63" s="70"/>
    </row>
    <row r="64" spans="1:6">
      <c r="A64" s="66" t="s">
        <v>181</v>
      </c>
      <c r="B64" s="67"/>
      <c r="C64" s="68"/>
      <c r="D64" s="68">
        <v>5250</v>
      </c>
      <c r="E64" s="68"/>
      <c r="F64" s="70"/>
    </row>
    <row r="65" spans="1:6">
      <c r="A65" s="66" t="s">
        <v>182</v>
      </c>
      <c r="B65" s="67"/>
      <c r="C65" s="68"/>
      <c r="D65" s="68">
        <v>5250</v>
      </c>
      <c r="E65" s="68"/>
      <c r="F65" s="70"/>
    </row>
    <row r="66" spans="1:6">
      <c r="A66" s="66" t="s">
        <v>183</v>
      </c>
      <c r="B66" s="67"/>
      <c r="C66" s="68"/>
      <c r="D66" s="68">
        <v>5600</v>
      </c>
      <c r="E66" s="68"/>
      <c r="F66" s="70"/>
    </row>
    <row r="67" spans="1:6">
      <c r="A67" s="66"/>
      <c r="B67" s="71"/>
      <c r="C67" s="72"/>
      <c r="D67" s="68"/>
      <c r="E67" s="72"/>
      <c r="F67" s="73"/>
    </row>
    <row r="68" spans="1:6">
      <c r="A68" s="66" t="s">
        <v>184</v>
      </c>
      <c r="B68" s="74" t="s">
        <v>185</v>
      </c>
      <c r="C68" s="75" t="s">
        <v>121</v>
      </c>
      <c r="D68" s="68">
        <v>5450</v>
      </c>
      <c r="E68" s="75" t="s">
        <v>186</v>
      </c>
      <c r="F68" s="73"/>
    </row>
    <row r="69" spans="1:6">
      <c r="A69" s="66" t="s">
        <v>178</v>
      </c>
      <c r="B69" s="77"/>
      <c r="C69" s="78"/>
      <c r="D69" s="68">
        <v>5250</v>
      </c>
      <c r="E69" s="78"/>
      <c r="F69" s="73"/>
    </row>
    <row r="70" spans="1:6">
      <c r="A70" s="66" t="s">
        <v>187</v>
      </c>
      <c r="B70" s="77"/>
      <c r="C70" s="78"/>
      <c r="D70" s="68">
        <v>5300</v>
      </c>
      <c r="E70" s="78"/>
      <c r="F70" s="73"/>
    </row>
    <row r="71" spans="1:6">
      <c r="A71" s="66" t="s">
        <v>188</v>
      </c>
      <c r="B71" s="77"/>
      <c r="C71" s="78"/>
      <c r="D71" s="68">
        <v>5500</v>
      </c>
      <c r="E71" s="78"/>
      <c r="F71" s="73"/>
    </row>
    <row r="72" spans="1:6">
      <c r="A72" s="66" t="s">
        <v>189</v>
      </c>
      <c r="B72" s="77"/>
      <c r="C72" s="78"/>
      <c r="D72" s="68">
        <v>5400</v>
      </c>
      <c r="E72" s="78"/>
      <c r="F72" s="73"/>
    </row>
    <row r="73" spans="1:6">
      <c r="A73" s="66" t="s">
        <v>190</v>
      </c>
      <c r="B73" s="79"/>
      <c r="C73" s="80"/>
      <c r="D73" s="68">
        <v>5550</v>
      </c>
      <c r="E73" s="80"/>
      <c r="F73" s="73"/>
    </row>
    <row r="74" spans="1:6">
      <c r="A74" s="66"/>
      <c r="B74" s="71"/>
      <c r="C74" s="72"/>
      <c r="D74" s="68"/>
      <c r="E74" s="72"/>
      <c r="F74" s="73"/>
    </row>
    <row r="75" spans="1:6">
      <c r="A75" s="66" t="s">
        <v>191</v>
      </c>
      <c r="B75" s="74" t="s">
        <v>192</v>
      </c>
      <c r="C75" s="75" t="s">
        <v>121</v>
      </c>
      <c r="D75" s="68">
        <v>4950</v>
      </c>
      <c r="E75" s="90" t="s">
        <v>193</v>
      </c>
      <c r="F75" s="83" t="s">
        <v>194</v>
      </c>
    </row>
    <row r="76" spans="1:6">
      <c r="A76" s="66" t="s">
        <v>195</v>
      </c>
      <c r="B76" s="77"/>
      <c r="C76" s="78"/>
      <c r="D76" s="68">
        <v>5000</v>
      </c>
      <c r="E76" s="78"/>
      <c r="F76" s="76"/>
    </row>
    <row r="77" spans="1:6">
      <c r="A77" s="66" t="s">
        <v>196</v>
      </c>
      <c r="B77" s="77"/>
      <c r="C77" s="78"/>
      <c r="D77" s="68">
        <v>5050</v>
      </c>
      <c r="E77" s="78"/>
      <c r="F77" s="76"/>
    </row>
    <row r="78" spans="1:6">
      <c r="A78" s="66" t="s">
        <v>139</v>
      </c>
      <c r="B78" s="77"/>
      <c r="C78" s="78"/>
      <c r="D78" s="68">
        <v>5150</v>
      </c>
      <c r="E78" s="78"/>
      <c r="F78" s="76"/>
    </row>
    <row r="79" spans="1:6">
      <c r="A79" s="66" t="s">
        <v>140</v>
      </c>
      <c r="B79" s="77"/>
      <c r="C79" s="78"/>
      <c r="D79" s="68">
        <v>5050</v>
      </c>
      <c r="E79" s="78"/>
      <c r="F79" s="76"/>
    </row>
    <row r="80" spans="1:6">
      <c r="A80" s="66" t="s">
        <v>197</v>
      </c>
      <c r="B80" s="77"/>
      <c r="C80" s="78"/>
      <c r="D80" s="68">
        <v>5200</v>
      </c>
      <c r="E80" s="78"/>
      <c r="F80" s="76"/>
    </row>
    <row r="81" spans="1:6">
      <c r="A81" s="66" t="s">
        <v>198</v>
      </c>
      <c r="B81" s="79"/>
      <c r="C81" s="80"/>
      <c r="D81" s="68">
        <v>5200</v>
      </c>
      <c r="E81" s="80"/>
      <c r="F81" s="81"/>
    </row>
    <row r="82" spans="1:6">
      <c r="A82" s="66"/>
      <c r="B82" s="91"/>
      <c r="C82" s="92"/>
      <c r="D82" s="68"/>
      <c r="E82" s="92"/>
      <c r="F82" s="93"/>
    </row>
    <row r="83" spans="1:6">
      <c r="A83" s="66" t="s">
        <v>166</v>
      </c>
      <c r="B83" s="77" t="s">
        <v>199</v>
      </c>
      <c r="C83" s="76" t="s">
        <v>121</v>
      </c>
      <c r="D83" s="68">
        <v>4450</v>
      </c>
      <c r="E83" s="78" t="s">
        <v>200</v>
      </c>
      <c r="F83" s="76" t="s">
        <v>175</v>
      </c>
    </row>
    <row r="84" spans="1:6">
      <c r="A84" s="66" t="s">
        <v>201</v>
      </c>
      <c r="B84" s="77"/>
      <c r="C84" s="76"/>
      <c r="D84" s="68">
        <v>4900</v>
      </c>
      <c r="E84" s="78"/>
      <c r="F84" s="76"/>
    </row>
    <row r="85" spans="1:6">
      <c r="A85" s="66" t="s">
        <v>202</v>
      </c>
      <c r="B85" s="77"/>
      <c r="C85" s="76"/>
      <c r="D85" s="68">
        <v>4970</v>
      </c>
      <c r="E85" s="78"/>
      <c r="F85" s="76"/>
    </row>
    <row r="86" spans="1:6">
      <c r="A86" s="66" t="s">
        <v>146</v>
      </c>
      <c r="B86" s="77"/>
      <c r="C86" s="76"/>
      <c r="D86" s="68">
        <v>5250</v>
      </c>
      <c r="E86" s="78"/>
      <c r="F86" s="76"/>
    </row>
    <row r="87" spans="1:6">
      <c r="A87" s="66" t="s">
        <v>203</v>
      </c>
      <c r="B87" s="77"/>
      <c r="C87" s="76"/>
      <c r="D87" s="68">
        <v>5100</v>
      </c>
      <c r="E87" s="78"/>
      <c r="F87" s="76"/>
    </row>
    <row r="88" spans="1:6">
      <c r="A88" s="66" t="s">
        <v>136</v>
      </c>
      <c r="B88" s="77"/>
      <c r="C88" s="76"/>
      <c r="D88" s="68">
        <v>4850</v>
      </c>
      <c r="E88" s="78"/>
      <c r="F88" s="76"/>
    </row>
    <row r="89" spans="1:6">
      <c r="A89" s="66" t="s">
        <v>204</v>
      </c>
      <c r="B89" s="77"/>
      <c r="C89" s="76"/>
      <c r="D89" s="68">
        <v>4950</v>
      </c>
      <c r="E89" s="78"/>
      <c r="F89" s="76"/>
    </row>
    <row r="90" spans="1:6">
      <c r="A90" s="66" t="s">
        <v>205</v>
      </c>
      <c r="B90" s="77"/>
      <c r="C90" s="76"/>
      <c r="D90" s="68">
        <v>5100</v>
      </c>
      <c r="E90" s="78"/>
      <c r="F90" s="76"/>
    </row>
    <row r="91" spans="1:6">
      <c r="A91" s="66" t="s">
        <v>138</v>
      </c>
      <c r="B91" s="77"/>
      <c r="C91" s="76"/>
      <c r="D91" s="68">
        <v>5100</v>
      </c>
      <c r="E91" s="78"/>
      <c r="F91" s="76"/>
    </row>
    <row r="92" spans="1:6">
      <c r="A92" s="66" t="s">
        <v>206</v>
      </c>
      <c r="B92" s="77"/>
      <c r="C92" s="76"/>
      <c r="D92" s="68">
        <v>5320</v>
      </c>
      <c r="E92" s="78"/>
      <c r="F92" s="76"/>
    </row>
    <row r="93" spans="1:6">
      <c r="A93" s="66"/>
      <c r="B93" s="77"/>
      <c r="C93" s="76"/>
      <c r="D93" s="68"/>
      <c r="E93" s="78"/>
      <c r="F93" s="81"/>
    </row>
    <row r="94" hidden="1" spans="1:6">
      <c r="A94" s="66" t="s">
        <v>141</v>
      </c>
      <c r="B94" s="77" t="s">
        <v>207</v>
      </c>
      <c r="C94" s="75" t="s">
        <v>121</v>
      </c>
      <c r="D94" s="68"/>
      <c r="E94" s="78"/>
      <c r="F94" s="93"/>
    </row>
    <row r="95" hidden="1" spans="1:6">
      <c r="A95" s="66" t="s">
        <v>139</v>
      </c>
      <c r="B95" s="77"/>
      <c r="C95" s="78"/>
      <c r="D95" s="68"/>
      <c r="E95" s="78"/>
      <c r="F95" s="93"/>
    </row>
    <row r="96" hidden="1" spans="1:6">
      <c r="A96" s="66" t="s">
        <v>208</v>
      </c>
      <c r="B96" s="77"/>
      <c r="C96" s="78"/>
      <c r="D96" s="68"/>
      <c r="E96" s="78"/>
      <c r="F96" s="93"/>
    </row>
    <row r="97" hidden="1" spans="1:6">
      <c r="A97" s="66" t="s">
        <v>146</v>
      </c>
      <c r="B97" s="77"/>
      <c r="C97" s="78"/>
      <c r="D97" s="68"/>
      <c r="E97" s="78"/>
      <c r="F97" s="93"/>
    </row>
    <row r="98" hidden="1" spans="1:6">
      <c r="A98" s="66" t="s">
        <v>143</v>
      </c>
      <c r="B98" s="79"/>
      <c r="C98" s="80"/>
      <c r="D98" s="68"/>
      <c r="E98" s="80"/>
      <c r="F98" s="93"/>
    </row>
    <row r="99" hidden="1" spans="1:6">
      <c r="A99" s="94"/>
      <c r="B99" s="91"/>
      <c r="C99" s="92"/>
      <c r="D99" s="68"/>
      <c r="E99" s="92"/>
      <c r="F99" s="93"/>
    </row>
    <row r="100" hidden="1" spans="1:6">
      <c r="A100" s="94" t="s">
        <v>209</v>
      </c>
      <c r="B100" s="95" t="s">
        <v>210</v>
      </c>
      <c r="C100" s="96" t="s">
        <v>121</v>
      </c>
      <c r="D100" s="68"/>
      <c r="E100" s="78"/>
      <c r="F100" s="93"/>
    </row>
    <row r="101" hidden="1" spans="1:6">
      <c r="A101" s="94" t="s">
        <v>211</v>
      </c>
      <c r="B101" s="95"/>
      <c r="C101" s="96"/>
      <c r="D101" s="68"/>
      <c r="E101" s="78"/>
      <c r="F101" s="93"/>
    </row>
    <row r="102" hidden="1" spans="1:6">
      <c r="A102" s="94" t="s">
        <v>146</v>
      </c>
      <c r="B102" s="95"/>
      <c r="C102" s="96"/>
      <c r="D102" s="68"/>
      <c r="E102" s="78"/>
      <c r="F102" s="93"/>
    </row>
    <row r="103" hidden="1" spans="1:6">
      <c r="A103" s="94" t="s">
        <v>212</v>
      </c>
      <c r="B103" s="95"/>
      <c r="C103" s="96"/>
      <c r="D103" s="68"/>
      <c r="E103" s="78"/>
      <c r="F103" s="93"/>
    </row>
    <row r="104" hidden="1" spans="1:6">
      <c r="A104" s="94" t="s">
        <v>201</v>
      </c>
      <c r="B104" s="97"/>
      <c r="C104" s="98"/>
      <c r="D104" s="68"/>
      <c r="E104" s="80"/>
      <c r="F104" s="93"/>
    </row>
    <row r="105" hidden="1" spans="1:6">
      <c r="A105" s="94"/>
      <c r="B105" s="99"/>
      <c r="C105" s="100"/>
      <c r="D105" s="68"/>
      <c r="E105" s="92"/>
      <c r="F105" s="93"/>
    </row>
    <row r="106" hidden="1" spans="1:6">
      <c r="A106" s="94" t="s">
        <v>209</v>
      </c>
      <c r="B106" s="95" t="s">
        <v>213</v>
      </c>
      <c r="C106" s="96" t="s">
        <v>121</v>
      </c>
      <c r="D106" s="68"/>
      <c r="E106" s="78"/>
      <c r="F106" s="93"/>
    </row>
    <row r="107" hidden="1" spans="1:6">
      <c r="A107" s="94" t="s">
        <v>211</v>
      </c>
      <c r="B107" s="95"/>
      <c r="C107" s="96"/>
      <c r="D107" s="68"/>
      <c r="E107" s="78"/>
      <c r="F107" s="93"/>
    </row>
    <row r="108" hidden="1" spans="1:6">
      <c r="A108" s="94" t="s">
        <v>146</v>
      </c>
      <c r="B108" s="95"/>
      <c r="C108" s="96"/>
      <c r="D108" s="68"/>
      <c r="E108" s="78"/>
      <c r="F108" s="93"/>
    </row>
    <row r="109" hidden="1" spans="1:6">
      <c r="A109" s="94" t="s">
        <v>212</v>
      </c>
      <c r="B109" s="95"/>
      <c r="C109" s="96"/>
      <c r="D109" s="68"/>
      <c r="E109" s="78"/>
      <c r="F109" s="93"/>
    </row>
    <row r="110" hidden="1" spans="1:6">
      <c r="A110" s="94" t="s">
        <v>201</v>
      </c>
      <c r="B110" s="97"/>
      <c r="C110" s="98"/>
      <c r="D110" s="68"/>
      <c r="E110" s="80"/>
      <c r="F110" s="93"/>
    </row>
    <row r="111" spans="1:6">
      <c r="A111" s="94"/>
      <c r="B111" s="101"/>
      <c r="C111" s="102"/>
      <c r="D111" s="68"/>
      <c r="E111" s="72"/>
      <c r="F111" s="73"/>
    </row>
    <row r="112" spans="1:6">
      <c r="A112" s="66" t="s">
        <v>214</v>
      </c>
      <c r="B112" s="67" t="s">
        <v>215</v>
      </c>
      <c r="C112" s="68" t="s">
        <v>121</v>
      </c>
      <c r="D112" s="68">
        <v>4250</v>
      </c>
      <c r="E112" s="70" t="s">
        <v>216</v>
      </c>
      <c r="F112" s="73"/>
    </row>
    <row r="113" spans="1:6">
      <c r="A113" s="66" t="s">
        <v>217</v>
      </c>
      <c r="B113" s="67"/>
      <c r="C113" s="68"/>
      <c r="D113" s="68">
        <v>4700</v>
      </c>
      <c r="E113" s="68"/>
      <c r="F113" s="73"/>
    </row>
    <row r="114" spans="1:6">
      <c r="A114" s="66" t="s">
        <v>218</v>
      </c>
      <c r="B114" s="67"/>
      <c r="C114" s="68"/>
      <c r="D114" s="68">
        <v>4950</v>
      </c>
      <c r="E114" s="68"/>
      <c r="F114" s="73"/>
    </row>
    <row r="115" spans="1:6">
      <c r="A115" s="66" t="s">
        <v>219</v>
      </c>
      <c r="B115" s="67"/>
      <c r="C115" s="68"/>
      <c r="D115" s="68">
        <v>4950</v>
      </c>
      <c r="E115" s="68"/>
      <c r="F115" s="73"/>
    </row>
    <row r="116" spans="1:6">
      <c r="A116" s="66" t="s">
        <v>220</v>
      </c>
      <c r="B116" s="67"/>
      <c r="C116" s="68"/>
      <c r="D116" s="68">
        <v>5150</v>
      </c>
      <c r="E116" s="68"/>
      <c r="F116" s="73"/>
    </row>
    <row r="117" spans="1:6">
      <c r="A117" s="66" t="s">
        <v>221</v>
      </c>
      <c r="B117" s="67"/>
      <c r="C117" s="68"/>
      <c r="D117" s="68">
        <v>5300</v>
      </c>
      <c r="E117" s="68"/>
      <c r="F117" s="73"/>
    </row>
    <row r="118" spans="1:6">
      <c r="A118" s="66" t="s">
        <v>222</v>
      </c>
      <c r="B118" s="67"/>
      <c r="C118" s="68"/>
      <c r="D118" s="68">
        <v>5400</v>
      </c>
      <c r="E118" s="68"/>
      <c r="F118" s="73"/>
    </row>
    <row r="119" spans="1:6">
      <c r="A119" s="66" t="s">
        <v>223</v>
      </c>
      <c r="B119" s="67"/>
      <c r="C119" s="68"/>
      <c r="D119" s="68">
        <v>5750</v>
      </c>
      <c r="E119" s="68"/>
      <c r="F119" s="73"/>
    </row>
    <row r="120" spans="1:6">
      <c r="A120" s="103" t="s">
        <v>224</v>
      </c>
      <c r="B120" s="67"/>
      <c r="C120" s="68"/>
      <c r="D120" s="68">
        <v>5450</v>
      </c>
      <c r="E120" s="68"/>
      <c r="F120" s="73"/>
    </row>
    <row r="121" spans="1:6">
      <c r="A121" s="66" t="s">
        <v>146</v>
      </c>
      <c r="B121" s="67"/>
      <c r="C121" s="68"/>
      <c r="D121" s="68">
        <v>5550</v>
      </c>
      <c r="E121" s="68"/>
      <c r="F121" s="73"/>
    </row>
    <row r="122" spans="1:6">
      <c r="A122" s="104"/>
      <c r="B122" s="105"/>
      <c r="C122" s="106"/>
      <c r="D122" s="107"/>
      <c r="E122" s="106"/>
      <c r="F122" s="108"/>
    </row>
    <row r="123" spans="1:6">
      <c r="A123" s="104" t="s">
        <v>167</v>
      </c>
      <c r="B123" s="109" t="s">
        <v>225</v>
      </c>
      <c r="C123" s="107" t="s">
        <v>226</v>
      </c>
      <c r="D123" s="107">
        <v>4350</v>
      </c>
      <c r="E123" s="107">
        <v>5.29</v>
      </c>
      <c r="F123" s="108"/>
    </row>
    <row r="124" spans="1:6">
      <c r="A124" s="104" t="s">
        <v>171</v>
      </c>
      <c r="B124" s="109"/>
      <c r="C124" s="107"/>
      <c r="D124" s="107">
        <v>4700</v>
      </c>
      <c r="E124" s="107"/>
      <c r="F124" s="108"/>
    </row>
    <row r="125" spans="1:6">
      <c r="A125" s="104" t="s">
        <v>135</v>
      </c>
      <c r="B125" s="109"/>
      <c r="C125" s="107"/>
      <c r="D125" s="107">
        <v>5600</v>
      </c>
      <c r="E125" s="107"/>
      <c r="F125" s="108"/>
    </row>
    <row r="126" spans="1:6">
      <c r="A126" s="104" t="s">
        <v>139</v>
      </c>
      <c r="B126" s="109"/>
      <c r="C126" s="107"/>
      <c r="D126" s="107">
        <v>5750</v>
      </c>
      <c r="E126" s="107"/>
      <c r="F126" s="108"/>
    </row>
    <row r="127" spans="1:6">
      <c r="A127" s="104" t="s">
        <v>227</v>
      </c>
      <c r="B127" s="109"/>
      <c r="C127" s="107"/>
      <c r="D127" s="107">
        <v>5600</v>
      </c>
      <c r="E127" s="107"/>
      <c r="F127" s="108"/>
    </row>
    <row r="128" spans="1:6">
      <c r="A128" s="104" t="s">
        <v>140</v>
      </c>
      <c r="B128" s="109"/>
      <c r="C128" s="107"/>
      <c r="D128" s="107">
        <v>5900</v>
      </c>
      <c r="E128" s="107"/>
      <c r="F128" s="108"/>
    </row>
    <row r="129" spans="1:6">
      <c r="A129" s="104" t="s">
        <v>136</v>
      </c>
      <c r="B129" s="109"/>
      <c r="C129" s="107"/>
      <c r="D129" s="107">
        <v>5450</v>
      </c>
      <c r="E129" s="107"/>
      <c r="F129" s="108"/>
    </row>
    <row r="130" spans="1:6">
      <c r="A130" s="104" t="s">
        <v>138</v>
      </c>
      <c r="B130" s="109"/>
      <c r="C130" s="107"/>
      <c r="D130" s="107">
        <v>5550</v>
      </c>
      <c r="E130" s="107"/>
      <c r="F130" s="108"/>
    </row>
    <row r="131" ht="12" customHeight="1" spans="1:6">
      <c r="A131" s="104" t="s">
        <v>178</v>
      </c>
      <c r="B131" s="109"/>
      <c r="C131" s="107"/>
      <c r="D131" s="107">
        <v>5650</v>
      </c>
      <c r="E131" s="107"/>
      <c r="F131" s="108"/>
    </row>
    <row r="132" spans="1:6">
      <c r="A132" s="104" t="s">
        <v>228</v>
      </c>
      <c r="B132" s="109"/>
      <c r="C132" s="107"/>
      <c r="D132" s="107">
        <v>5700</v>
      </c>
      <c r="E132" s="107"/>
      <c r="F132" s="108"/>
    </row>
    <row r="133" spans="1:6">
      <c r="A133" s="104" t="s">
        <v>183</v>
      </c>
      <c r="B133" s="109"/>
      <c r="C133" s="107"/>
      <c r="D133" s="107">
        <v>6050</v>
      </c>
      <c r="E133" s="107"/>
      <c r="F133" s="108"/>
    </row>
    <row r="134" spans="1:6">
      <c r="A134" s="104"/>
      <c r="B134" s="105"/>
      <c r="C134" s="106"/>
      <c r="D134" s="107"/>
      <c r="E134" s="106"/>
      <c r="F134" s="108"/>
    </row>
    <row r="135" hidden="1" spans="1:6">
      <c r="A135" s="104" t="s">
        <v>229</v>
      </c>
      <c r="B135" s="110" t="s">
        <v>230</v>
      </c>
      <c r="C135" s="111" t="s">
        <v>231</v>
      </c>
      <c r="D135" s="107">
        <v>5350</v>
      </c>
      <c r="E135" s="111"/>
      <c r="F135" s="108"/>
    </row>
    <row r="136" hidden="1" spans="1:6">
      <c r="A136" s="104" t="s">
        <v>232</v>
      </c>
      <c r="B136" s="112"/>
      <c r="C136" s="113"/>
      <c r="D136" s="107">
        <v>5450</v>
      </c>
      <c r="E136" s="113"/>
      <c r="F136" s="108"/>
    </row>
    <row r="137" hidden="1" spans="1:6">
      <c r="A137" s="104" t="s">
        <v>233</v>
      </c>
      <c r="B137" s="112"/>
      <c r="C137" s="113"/>
      <c r="D137" s="107">
        <v>5600</v>
      </c>
      <c r="E137" s="113"/>
      <c r="F137" s="108"/>
    </row>
    <row r="138" hidden="1" spans="1:6">
      <c r="A138" s="104" t="s">
        <v>143</v>
      </c>
      <c r="B138" s="112"/>
      <c r="C138" s="113"/>
      <c r="D138" s="107">
        <v>5700</v>
      </c>
      <c r="E138" s="113"/>
      <c r="F138" s="108"/>
    </row>
    <row r="139" hidden="1" spans="1:6">
      <c r="A139" s="104" t="s">
        <v>234</v>
      </c>
      <c r="B139" s="114"/>
      <c r="C139" s="115"/>
      <c r="D139" s="107">
        <v>5750</v>
      </c>
      <c r="E139" s="115"/>
      <c r="F139" s="108"/>
    </row>
    <row r="140" spans="1:6">
      <c r="A140" s="104"/>
      <c r="B140" s="105"/>
      <c r="C140" s="106"/>
      <c r="D140" s="107"/>
      <c r="E140" s="106"/>
      <c r="F140" s="108"/>
    </row>
    <row r="141" spans="1:6">
      <c r="A141" s="104" t="s">
        <v>235</v>
      </c>
      <c r="B141" s="109" t="s">
        <v>236</v>
      </c>
      <c r="C141" s="107" t="s">
        <v>226</v>
      </c>
      <c r="D141" s="107">
        <v>5700</v>
      </c>
      <c r="E141" s="116">
        <v>5.3</v>
      </c>
      <c r="F141" s="108"/>
    </row>
    <row r="142" spans="1:6">
      <c r="A142" s="104" t="s">
        <v>237</v>
      </c>
      <c r="B142" s="109"/>
      <c r="C142" s="107"/>
      <c r="D142" s="107">
        <v>5750</v>
      </c>
      <c r="E142" s="107"/>
      <c r="F142" s="108"/>
    </row>
    <row r="143" spans="1:6">
      <c r="A143" s="104" t="s">
        <v>238</v>
      </c>
      <c r="B143" s="109"/>
      <c r="C143" s="107"/>
      <c r="D143" s="107">
        <v>6100</v>
      </c>
      <c r="E143" s="107"/>
      <c r="F143" s="108"/>
    </row>
    <row r="144" spans="1:6">
      <c r="A144" s="104" t="s">
        <v>239</v>
      </c>
      <c r="B144" s="109"/>
      <c r="C144" s="107"/>
      <c r="D144" s="107">
        <v>6200</v>
      </c>
      <c r="E144" s="107"/>
      <c r="F144" s="108"/>
    </row>
    <row r="145" spans="1:6">
      <c r="A145" s="104"/>
      <c r="B145" s="105"/>
      <c r="C145" s="106"/>
      <c r="D145" s="107"/>
      <c r="E145" s="106"/>
      <c r="F145" s="108"/>
    </row>
    <row r="146" spans="1:6">
      <c r="A146" s="104"/>
      <c r="B146" s="105"/>
      <c r="C146" s="106"/>
      <c r="D146" s="107"/>
      <c r="E146" s="106"/>
      <c r="F146" s="108"/>
    </row>
    <row r="147" spans="1:6">
      <c r="A147" s="104" t="s">
        <v>166</v>
      </c>
      <c r="B147" s="110" t="s">
        <v>240</v>
      </c>
      <c r="C147" s="107" t="s">
        <v>226</v>
      </c>
      <c r="D147" s="107">
        <v>4800</v>
      </c>
      <c r="E147" s="111" t="s">
        <v>200</v>
      </c>
      <c r="F147" s="117" t="s">
        <v>175</v>
      </c>
    </row>
    <row r="148" spans="1:6">
      <c r="A148" s="104" t="s">
        <v>201</v>
      </c>
      <c r="B148" s="112"/>
      <c r="C148" s="107"/>
      <c r="D148" s="107">
        <v>5250</v>
      </c>
      <c r="E148" s="113"/>
      <c r="F148" s="118"/>
    </row>
    <row r="149" spans="1:6">
      <c r="A149" s="104" t="s">
        <v>241</v>
      </c>
      <c r="B149" s="112"/>
      <c r="C149" s="107"/>
      <c r="D149" s="107">
        <v>5300</v>
      </c>
      <c r="E149" s="113"/>
      <c r="F149" s="118"/>
    </row>
    <row r="150" spans="1:6">
      <c r="A150" s="104" t="s">
        <v>146</v>
      </c>
      <c r="B150" s="112"/>
      <c r="C150" s="107"/>
      <c r="D150" s="107">
        <v>5600</v>
      </c>
      <c r="E150" s="113"/>
      <c r="F150" s="118"/>
    </row>
    <row r="151" ht="15" customHeight="1" spans="1:6">
      <c r="A151" s="104" t="s">
        <v>242</v>
      </c>
      <c r="B151" s="112"/>
      <c r="C151" s="107"/>
      <c r="D151" s="107">
        <v>5450</v>
      </c>
      <c r="E151" s="113"/>
      <c r="F151" s="118"/>
    </row>
    <row r="152" spans="1:6">
      <c r="A152" s="104" t="s">
        <v>136</v>
      </c>
      <c r="B152" s="112"/>
      <c r="C152" s="107"/>
      <c r="D152" s="107">
        <v>5200</v>
      </c>
      <c r="E152" s="113"/>
      <c r="F152" s="118"/>
    </row>
    <row r="153" spans="1:6">
      <c r="A153" s="104" t="s">
        <v>138</v>
      </c>
      <c r="B153" s="112"/>
      <c r="C153" s="107"/>
      <c r="D153" s="107">
        <v>5550</v>
      </c>
      <c r="E153" s="113"/>
      <c r="F153" s="118"/>
    </row>
    <row r="154" spans="1:6">
      <c r="A154" s="104" t="s">
        <v>206</v>
      </c>
      <c r="B154" s="112"/>
      <c r="C154" s="107"/>
      <c r="D154" s="107">
        <v>5700</v>
      </c>
      <c r="E154" s="113"/>
      <c r="F154" s="118"/>
    </row>
    <row r="155" spans="1:6">
      <c r="A155" s="104" t="s">
        <v>131</v>
      </c>
      <c r="B155" s="114"/>
      <c r="C155" s="107"/>
      <c r="D155" s="107">
        <v>5550</v>
      </c>
      <c r="E155" s="115"/>
      <c r="F155" s="119"/>
    </row>
    <row r="156" spans="1:6">
      <c r="A156" s="104"/>
      <c r="B156" s="114"/>
      <c r="C156" s="107"/>
      <c r="D156" s="107"/>
      <c r="E156" s="115"/>
      <c r="F156" s="108"/>
    </row>
    <row r="157" hidden="1" spans="1:6">
      <c r="A157" s="104" t="s">
        <v>243</v>
      </c>
      <c r="B157" s="112" t="s">
        <v>244</v>
      </c>
      <c r="C157" s="111" t="s">
        <v>226</v>
      </c>
      <c r="D157" s="107"/>
      <c r="E157" s="120"/>
      <c r="F157" s="108"/>
    </row>
    <row r="158" hidden="1" spans="1:6">
      <c r="A158" s="104" t="s">
        <v>245</v>
      </c>
      <c r="B158" s="112"/>
      <c r="C158" s="113"/>
      <c r="D158" s="107"/>
      <c r="E158" s="113"/>
      <c r="F158" s="108"/>
    </row>
    <row r="159" hidden="1" spans="1:6">
      <c r="A159" s="104" t="s">
        <v>246</v>
      </c>
      <c r="B159" s="114"/>
      <c r="C159" s="115"/>
      <c r="D159" s="107"/>
      <c r="E159" s="115"/>
      <c r="F159" s="108"/>
    </row>
    <row r="160" spans="1:6">
      <c r="A160" s="104"/>
      <c r="B160" s="114"/>
      <c r="C160" s="107"/>
      <c r="D160" s="107"/>
      <c r="E160" s="115"/>
      <c r="F160" s="108"/>
    </row>
    <row r="161" spans="1:6">
      <c r="A161" s="104" t="s">
        <v>247</v>
      </c>
      <c r="B161" s="112" t="s">
        <v>248</v>
      </c>
      <c r="C161" s="107" t="s">
        <v>226</v>
      </c>
      <c r="D161" s="107">
        <v>5800</v>
      </c>
      <c r="E161" s="120" t="s">
        <v>249</v>
      </c>
      <c r="F161" s="108"/>
    </row>
    <row r="162" spans="1:6">
      <c r="A162" s="104" t="s">
        <v>250</v>
      </c>
      <c r="B162" s="112"/>
      <c r="C162" s="107"/>
      <c r="D162" s="107">
        <v>5850</v>
      </c>
      <c r="E162" s="113"/>
      <c r="F162" s="108"/>
    </row>
    <row r="163" spans="1:6">
      <c r="A163" s="104" t="s">
        <v>251</v>
      </c>
      <c r="B163" s="112"/>
      <c r="C163" s="107"/>
      <c r="D163" s="107">
        <v>5900</v>
      </c>
      <c r="E163" s="113"/>
      <c r="F163" s="108"/>
    </row>
    <row r="164" spans="1:6">
      <c r="A164" s="104" t="s">
        <v>252</v>
      </c>
      <c r="B164" s="112"/>
      <c r="C164" s="107"/>
      <c r="D164" s="107">
        <v>6050</v>
      </c>
      <c r="E164" s="113"/>
      <c r="F164" s="108"/>
    </row>
    <row r="165" spans="1:6">
      <c r="A165" s="104" t="s">
        <v>253</v>
      </c>
      <c r="B165" s="114"/>
      <c r="C165" s="107"/>
      <c r="D165" s="107">
        <v>5950</v>
      </c>
      <c r="E165" s="115"/>
      <c r="F165" s="108"/>
    </row>
    <row r="166" spans="1:6">
      <c r="A166" s="104"/>
      <c r="B166" s="114"/>
      <c r="C166" s="107"/>
      <c r="D166" s="107"/>
      <c r="E166" s="115"/>
      <c r="F166" s="108"/>
    </row>
    <row r="167" hidden="1" spans="1:6">
      <c r="A167" s="104" t="s">
        <v>254</v>
      </c>
      <c r="B167" s="112" t="s">
        <v>255</v>
      </c>
      <c r="C167" s="111" t="s">
        <v>226</v>
      </c>
      <c r="D167" s="107">
        <v>5250</v>
      </c>
      <c r="E167" s="113"/>
      <c r="F167" s="108"/>
    </row>
    <row r="168" hidden="1" spans="1:6">
      <c r="A168" s="104" t="s">
        <v>256</v>
      </c>
      <c r="B168" s="112"/>
      <c r="C168" s="113"/>
      <c r="D168" s="107">
        <v>5250</v>
      </c>
      <c r="E168" s="113"/>
      <c r="F168" s="108"/>
    </row>
    <row r="169" hidden="1" spans="1:6">
      <c r="A169" s="104" t="s">
        <v>139</v>
      </c>
      <c r="B169" s="112"/>
      <c r="C169" s="113"/>
      <c r="D169" s="107">
        <v>5550</v>
      </c>
      <c r="E169" s="113"/>
      <c r="F169" s="108"/>
    </row>
    <row r="170" hidden="1" spans="1:6">
      <c r="A170" s="104" t="s">
        <v>257</v>
      </c>
      <c r="B170" s="112"/>
      <c r="C170" s="113"/>
      <c r="D170" s="107">
        <v>5600</v>
      </c>
      <c r="E170" s="113"/>
      <c r="F170" s="108"/>
    </row>
    <row r="171" hidden="1" spans="1:6">
      <c r="A171" s="104" t="s">
        <v>258</v>
      </c>
      <c r="B171" s="112"/>
      <c r="C171" s="113"/>
      <c r="D171" s="107">
        <v>5500</v>
      </c>
      <c r="E171" s="113"/>
      <c r="F171" s="108"/>
    </row>
    <row r="172" hidden="1" spans="1:6">
      <c r="A172" s="104" t="s">
        <v>198</v>
      </c>
      <c r="B172" s="112"/>
      <c r="C172" s="113"/>
      <c r="D172" s="107">
        <v>5600</v>
      </c>
      <c r="E172" s="113"/>
      <c r="F172" s="108"/>
    </row>
    <row r="173" hidden="1" spans="1:6">
      <c r="A173" s="104" t="s">
        <v>259</v>
      </c>
      <c r="B173" s="114"/>
      <c r="C173" s="115"/>
      <c r="D173" s="107">
        <v>5550</v>
      </c>
      <c r="E173" s="115"/>
      <c r="F173" s="108"/>
    </row>
    <row r="174" spans="1:6">
      <c r="A174" s="104"/>
      <c r="B174" s="114"/>
      <c r="C174" s="107"/>
      <c r="D174" s="107"/>
      <c r="E174" s="115"/>
      <c r="F174" s="108"/>
    </row>
    <row r="175" spans="1:6">
      <c r="A175" s="104" t="s">
        <v>260</v>
      </c>
      <c r="B175" s="112" t="s">
        <v>261</v>
      </c>
      <c r="C175" s="111" t="s">
        <v>226</v>
      </c>
      <c r="D175" s="107">
        <v>5400</v>
      </c>
      <c r="E175" s="113">
        <v>5.29</v>
      </c>
      <c r="F175" s="108"/>
    </row>
    <row r="176" spans="1:6">
      <c r="A176" s="104" t="s">
        <v>262</v>
      </c>
      <c r="B176" s="112"/>
      <c r="C176" s="113"/>
      <c r="D176" s="107">
        <v>5650</v>
      </c>
      <c r="E176" s="113"/>
      <c r="F176" s="108"/>
    </row>
    <row r="177" spans="1:6">
      <c r="A177" s="104" t="s">
        <v>263</v>
      </c>
      <c r="B177" s="112"/>
      <c r="C177" s="113"/>
      <c r="D177" s="107">
        <v>5900</v>
      </c>
      <c r="E177" s="113"/>
      <c r="F177" s="108"/>
    </row>
    <row r="178" spans="1:6">
      <c r="A178" s="104" t="s">
        <v>136</v>
      </c>
      <c r="B178" s="114"/>
      <c r="C178" s="115"/>
      <c r="D178" s="107">
        <v>5750</v>
      </c>
      <c r="E178" s="115"/>
      <c r="F178" s="108"/>
    </row>
    <row r="179" spans="1:6">
      <c r="A179" s="104"/>
      <c r="B179" s="109"/>
      <c r="C179" s="107"/>
      <c r="D179" s="107"/>
      <c r="E179" s="107"/>
      <c r="F179" s="108"/>
    </row>
    <row r="180" spans="1:6">
      <c r="A180" s="104" t="s">
        <v>178</v>
      </c>
      <c r="B180" s="110" t="s">
        <v>264</v>
      </c>
      <c r="C180" s="107" t="s">
        <v>226</v>
      </c>
      <c r="D180" s="107">
        <v>5850</v>
      </c>
      <c r="E180" s="121">
        <v>6.02</v>
      </c>
      <c r="F180" s="108"/>
    </row>
    <row r="181" spans="1:6">
      <c r="A181" s="104" t="s">
        <v>265</v>
      </c>
      <c r="B181" s="112"/>
      <c r="C181" s="107"/>
      <c r="D181" s="107">
        <v>5900</v>
      </c>
      <c r="E181" s="107"/>
      <c r="F181" s="108"/>
    </row>
    <row r="182" spans="1:6">
      <c r="A182" s="104" t="s">
        <v>266</v>
      </c>
      <c r="B182" s="112"/>
      <c r="C182" s="107"/>
      <c r="D182" s="107">
        <v>5950</v>
      </c>
      <c r="E182" s="107"/>
      <c r="F182" s="108"/>
    </row>
    <row r="183" spans="1:6">
      <c r="A183" s="104" t="s">
        <v>267</v>
      </c>
      <c r="B183" s="114"/>
      <c r="C183" s="107"/>
      <c r="D183" s="107">
        <v>6300</v>
      </c>
      <c r="E183" s="107"/>
      <c r="F183" s="108"/>
    </row>
    <row r="184" spans="1:6">
      <c r="A184" s="122"/>
      <c r="B184" s="123"/>
      <c r="C184" s="124"/>
      <c r="D184" s="124"/>
      <c r="E184" s="125"/>
      <c r="F184" s="126"/>
    </row>
    <row r="185" hidden="1" spans="1:6">
      <c r="A185" s="122" t="s">
        <v>171</v>
      </c>
      <c r="B185" s="127" t="s">
        <v>268</v>
      </c>
      <c r="C185" s="124" t="s">
        <v>269</v>
      </c>
      <c r="D185" s="124">
        <v>5450</v>
      </c>
      <c r="E185" s="128"/>
      <c r="F185" s="126"/>
    </row>
    <row r="186" hidden="1" spans="1:6">
      <c r="A186" s="129" t="s">
        <v>167</v>
      </c>
      <c r="B186" s="127"/>
      <c r="C186" s="124"/>
      <c r="D186" s="124">
        <v>5350</v>
      </c>
      <c r="E186" s="124"/>
      <c r="F186" s="126"/>
    </row>
    <row r="187" spans="1:6">
      <c r="A187" s="129"/>
      <c r="B187" s="130"/>
      <c r="C187" s="131"/>
      <c r="D187" s="132"/>
      <c r="E187" s="133"/>
      <c r="F187" s="126"/>
    </row>
    <row r="188" spans="1:6">
      <c r="A188" s="129" t="s">
        <v>247</v>
      </c>
      <c r="B188" s="134" t="s">
        <v>270</v>
      </c>
      <c r="C188" s="135" t="s">
        <v>269</v>
      </c>
      <c r="D188" s="132">
        <v>5700</v>
      </c>
      <c r="E188" s="135" t="s">
        <v>271</v>
      </c>
      <c r="F188" s="126"/>
    </row>
    <row r="189" spans="1:6">
      <c r="A189" s="129" t="s">
        <v>250</v>
      </c>
      <c r="B189" s="136"/>
      <c r="C189" s="137"/>
      <c r="D189" s="132">
        <v>5750</v>
      </c>
      <c r="E189" s="137"/>
      <c r="F189" s="126"/>
    </row>
    <row r="190" spans="1:6">
      <c r="A190" s="129" t="s">
        <v>251</v>
      </c>
      <c r="B190" s="136"/>
      <c r="C190" s="137"/>
      <c r="D190" s="132">
        <v>5850</v>
      </c>
      <c r="E190" s="137"/>
      <c r="F190" s="126"/>
    </row>
    <row r="191" spans="1:6">
      <c r="A191" s="129" t="s">
        <v>252</v>
      </c>
      <c r="B191" s="136"/>
      <c r="C191" s="137"/>
      <c r="D191" s="132">
        <v>5950</v>
      </c>
      <c r="E191" s="137"/>
      <c r="F191" s="126"/>
    </row>
    <row r="192" spans="1:6">
      <c r="A192" s="129" t="s">
        <v>253</v>
      </c>
      <c r="B192" s="138"/>
      <c r="C192" s="139"/>
      <c r="D192" s="132">
        <v>5850</v>
      </c>
      <c r="E192" s="139"/>
      <c r="F192" s="126"/>
    </row>
    <row r="193" spans="1:6">
      <c r="A193" s="129"/>
      <c r="B193" s="140"/>
      <c r="C193" s="141"/>
      <c r="D193" s="132"/>
      <c r="E193" s="142"/>
      <c r="F193" s="126"/>
    </row>
    <row r="194" spans="1:6">
      <c r="A194" s="129" t="s">
        <v>135</v>
      </c>
      <c r="B194" s="136" t="s">
        <v>272</v>
      </c>
      <c r="C194" s="137" t="s">
        <v>269</v>
      </c>
      <c r="D194" s="132">
        <v>5650</v>
      </c>
      <c r="E194" s="137">
        <v>5.27</v>
      </c>
      <c r="F194" s="143"/>
    </row>
    <row r="195" spans="1:6">
      <c r="A195" s="129" t="s">
        <v>139</v>
      </c>
      <c r="B195" s="136"/>
      <c r="C195" s="137"/>
      <c r="D195" s="132">
        <v>6150</v>
      </c>
      <c r="E195" s="137"/>
      <c r="F195" s="143"/>
    </row>
    <row r="196" spans="1:6">
      <c r="A196" s="129" t="s">
        <v>136</v>
      </c>
      <c r="B196" s="136"/>
      <c r="C196" s="137"/>
      <c r="D196" s="132">
        <v>5400</v>
      </c>
      <c r="E196" s="137"/>
      <c r="F196" s="143"/>
    </row>
    <row r="197" spans="1:6">
      <c r="A197" s="129" t="s">
        <v>138</v>
      </c>
      <c r="B197" s="138"/>
      <c r="C197" s="139"/>
      <c r="D197" s="132">
        <v>5250</v>
      </c>
      <c r="E197" s="139"/>
      <c r="F197" s="143"/>
    </row>
    <row r="198" spans="1:6">
      <c r="A198" s="129"/>
      <c r="B198" s="140"/>
      <c r="C198" s="141"/>
      <c r="D198" s="132"/>
      <c r="E198" s="142"/>
      <c r="F198" s="143"/>
    </row>
    <row r="199" spans="1:6">
      <c r="A199" s="129" t="s">
        <v>132</v>
      </c>
      <c r="B199" s="136" t="s">
        <v>273</v>
      </c>
      <c r="C199" s="137" t="s">
        <v>269</v>
      </c>
      <c r="D199" s="132">
        <v>5100</v>
      </c>
      <c r="E199" s="144">
        <v>5.23</v>
      </c>
      <c r="F199" s="143"/>
    </row>
    <row r="200" spans="1:6">
      <c r="A200" s="129" t="s">
        <v>274</v>
      </c>
      <c r="B200" s="136"/>
      <c r="C200" s="137"/>
      <c r="D200" s="132">
        <v>5700</v>
      </c>
      <c r="E200" s="137"/>
      <c r="F200" s="143"/>
    </row>
    <row r="201" spans="1:6">
      <c r="A201" s="129" t="s">
        <v>275</v>
      </c>
      <c r="B201" s="136"/>
      <c r="C201" s="137"/>
      <c r="D201" s="132">
        <v>5500</v>
      </c>
      <c r="E201" s="137"/>
      <c r="F201" s="143"/>
    </row>
    <row r="202" spans="1:6">
      <c r="A202" s="129" t="s">
        <v>276</v>
      </c>
      <c r="B202" s="136"/>
      <c r="C202" s="137"/>
      <c r="D202" s="132">
        <v>5650</v>
      </c>
      <c r="E202" s="137"/>
      <c r="F202" s="143"/>
    </row>
    <row r="203" spans="1:6">
      <c r="A203" s="129" t="s">
        <v>277</v>
      </c>
      <c r="B203" s="136"/>
      <c r="C203" s="137"/>
      <c r="D203" s="132">
        <v>5800</v>
      </c>
      <c r="E203" s="137"/>
      <c r="F203" s="143"/>
    </row>
    <row r="204" spans="1:6">
      <c r="A204" s="129" t="s">
        <v>146</v>
      </c>
      <c r="B204" s="138"/>
      <c r="C204" s="139"/>
      <c r="D204" s="132">
        <v>5900</v>
      </c>
      <c r="E204" s="139"/>
      <c r="F204" s="143"/>
    </row>
    <row r="205" spans="1:6">
      <c r="A205" s="129"/>
      <c r="B205" s="140"/>
      <c r="C205" s="141"/>
      <c r="D205" s="132"/>
      <c r="E205" s="142"/>
      <c r="F205" s="143"/>
    </row>
    <row r="206" hidden="1" spans="1:6">
      <c r="A206" s="129" t="s">
        <v>243</v>
      </c>
      <c r="B206" s="134" t="s">
        <v>278</v>
      </c>
      <c r="C206" s="135" t="s">
        <v>269</v>
      </c>
      <c r="D206" s="132">
        <v>5150</v>
      </c>
      <c r="E206" s="144"/>
      <c r="F206" s="143"/>
    </row>
    <row r="207" hidden="1" spans="1:6">
      <c r="A207" s="129" t="s">
        <v>245</v>
      </c>
      <c r="B207" s="136"/>
      <c r="C207" s="137"/>
      <c r="D207" s="132">
        <v>5200</v>
      </c>
      <c r="E207" s="137"/>
      <c r="F207" s="143"/>
    </row>
    <row r="208" hidden="1" spans="1:6">
      <c r="A208" s="129" t="s">
        <v>246</v>
      </c>
      <c r="B208" s="138"/>
      <c r="C208" s="139"/>
      <c r="D208" s="132">
        <v>5300</v>
      </c>
      <c r="E208" s="139"/>
      <c r="F208" s="143"/>
    </row>
    <row r="209" spans="1:6">
      <c r="A209" s="129"/>
      <c r="B209" s="140"/>
      <c r="C209" s="141"/>
      <c r="D209" s="132"/>
      <c r="E209" s="142"/>
      <c r="F209" s="143"/>
    </row>
    <row r="210" spans="1:6">
      <c r="A210" s="129" t="s">
        <v>135</v>
      </c>
      <c r="B210" s="136" t="s">
        <v>279</v>
      </c>
      <c r="C210" s="137" t="s">
        <v>269</v>
      </c>
      <c r="D210" s="132">
        <v>5400</v>
      </c>
      <c r="E210" s="137" t="s">
        <v>280</v>
      </c>
      <c r="F210" s="143"/>
    </row>
    <row r="211" spans="1:6">
      <c r="A211" s="129" t="s">
        <v>138</v>
      </c>
      <c r="B211" s="136"/>
      <c r="C211" s="137"/>
      <c r="D211" s="132">
        <v>5050</v>
      </c>
      <c r="E211" s="137"/>
      <c r="F211" s="143"/>
    </row>
    <row r="212" spans="1:6">
      <c r="A212" s="129" t="s">
        <v>136</v>
      </c>
      <c r="B212" s="136"/>
      <c r="C212" s="137"/>
      <c r="D212" s="132">
        <v>5350</v>
      </c>
      <c r="E212" s="137"/>
      <c r="F212" s="143"/>
    </row>
    <row r="213" spans="1:6">
      <c r="A213" s="129" t="s">
        <v>139</v>
      </c>
      <c r="B213" s="136"/>
      <c r="C213" s="137"/>
      <c r="D213" s="132">
        <v>5500</v>
      </c>
      <c r="E213" s="137"/>
      <c r="F213" s="143"/>
    </row>
    <row r="214" spans="1:6">
      <c r="A214" s="129" t="s">
        <v>165</v>
      </c>
      <c r="B214" s="136"/>
      <c r="C214" s="137"/>
      <c r="D214" s="132">
        <v>4800</v>
      </c>
      <c r="E214" s="137"/>
      <c r="F214" s="143"/>
    </row>
    <row r="215" spans="1:6">
      <c r="A215" s="129" t="s">
        <v>166</v>
      </c>
      <c r="B215" s="138"/>
      <c r="C215" s="139"/>
      <c r="D215" s="132">
        <v>4800</v>
      </c>
      <c r="E215" s="139"/>
      <c r="F215" s="143"/>
    </row>
    <row r="216" spans="1:6">
      <c r="A216" s="129"/>
      <c r="B216" s="130"/>
      <c r="C216" s="131"/>
      <c r="D216" s="132"/>
      <c r="E216" s="133"/>
      <c r="F216" s="126"/>
    </row>
    <row r="217" hidden="1" spans="1:6">
      <c r="A217" s="129" t="s">
        <v>178</v>
      </c>
      <c r="B217" s="134" t="s">
        <v>281</v>
      </c>
      <c r="C217" s="135" t="s">
        <v>269</v>
      </c>
      <c r="D217" s="132">
        <v>5450</v>
      </c>
      <c r="E217" s="145"/>
      <c r="F217" s="126"/>
    </row>
    <row r="218" hidden="1" spans="1:6">
      <c r="A218" s="129" t="s">
        <v>180</v>
      </c>
      <c r="B218" s="136"/>
      <c r="C218" s="137"/>
      <c r="D218" s="132">
        <v>5500</v>
      </c>
      <c r="E218" s="137"/>
      <c r="F218" s="126"/>
    </row>
    <row r="219" hidden="1" spans="1:6">
      <c r="A219" s="129" t="s">
        <v>181</v>
      </c>
      <c r="B219" s="136"/>
      <c r="C219" s="137"/>
      <c r="D219" s="132">
        <v>5550</v>
      </c>
      <c r="E219" s="137"/>
      <c r="F219" s="126"/>
    </row>
    <row r="220" hidden="1" spans="1:6">
      <c r="A220" s="129" t="s">
        <v>183</v>
      </c>
      <c r="B220" s="138"/>
      <c r="C220" s="139"/>
      <c r="D220" s="132">
        <v>5900</v>
      </c>
      <c r="E220" s="139"/>
      <c r="F220" s="126"/>
    </row>
    <row r="221" hidden="1" spans="1:6">
      <c r="A221" s="146"/>
      <c r="B221" s="147"/>
      <c r="C221" s="148"/>
      <c r="D221" s="149"/>
      <c r="E221" s="150"/>
      <c r="F221" s="151"/>
    </row>
    <row r="222" hidden="1" spans="1:6">
      <c r="A222" s="146" t="s">
        <v>178</v>
      </c>
      <c r="B222" s="152" t="s">
        <v>282</v>
      </c>
      <c r="C222" s="153" t="s">
        <v>283</v>
      </c>
      <c r="D222" s="149">
        <v>5250</v>
      </c>
      <c r="E222" s="154"/>
      <c r="F222" s="151"/>
    </row>
    <row r="223" hidden="1" spans="1:6">
      <c r="A223" s="146" t="s">
        <v>180</v>
      </c>
      <c r="B223" s="155"/>
      <c r="C223" s="156"/>
      <c r="D223" s="149">
        <v>5300</v>
      </c>
      <c r="E223" s="157"/>
      <c r="F223" s="151"/>
    </row>
    <row r="224" hidden="1" spans="1:6">
      <c r="A224" s="146" t="s">
        <v>181</v>
      </c>
      <c r="B224" s="155"/>
      <c r="C224" s="156"/>
      <c r="D224" s="149">
        <v>5350</v>
      </c>
      <c r="E224" s="157"/>
      <c r="F224" s="151"/>
    </row>
    <row r="225" hidden="1" spans="1:6">
      <c r="A225" s="146" t="s">
        <v>183</v>
      </c>
      <c r="B225" s="158"/>
      <c r="C225" s="159"/>
      <c r="D225" s="149">
        <v>5700</v>
      </c>
      <c r="E225" s="160"/>
      <c r="F225" s="151"/>
    </row>
    <row r="226" spans="1:6">
      <c r="A226" s="146"/>
      <c r="B226" s="158"/>
      <c r="C226" s="159"/>
      <c r="D226" s="149"/>
      <c r="E226" s="160"/>
      <c r="F226" s="151"/>
    </row>
    <row r="227" spans="1:6">
      <c r="A227" s="146" t="s">
        <v>135</v>
      </c>
      <c r="B227" s="161" t="s">
        <v>284</v>
      </c>
      <c r="C227" s="149" t="s">
        <v>283</v>
      </c>
      <c r="D227" s="149">
        <v>5250</v>
      </c>
      <c r="E227" s="157">
        <v>5.27</v>
      </c>
      <c r="F227" s="162"/>
    </row>
    <row r="228" spans="1:6">
      <c r="A228" s="146" t="s">
        <v>139</v>
      </c>
      <c r="B228" s="161"/>
      <c r="C228" s="149"/>
      <c r="D228" s="149">
        <v>5750</v>
      </c>
      <c r="E228" s="157"/>
      <c r="F228" s="162"/>
    </row>
    <row r="229" spans="1:6">
      <c r="A229" s="146" t="s">
        <v>136</v>
      </c>
      <c r="B229" s="161"/>
      <c r="C229" s="149"/>
      <c r="D229" s="149">
        <v>5000</v>
      </c>
      <c r="E229" s="157"/>
      <c r="F229" s="162"/>
    </row>
    <row r="230" spans="1:6">
      <c r="A230" s="146" t="s">
        <v>138</v>
      </c>
      <c r="B230" s="161"/>
      <c r="C230" s="149"/>
      <c r="D230" s="149">
        <v>4850</v>
      </c>
      <c r="E230" s="160"/>
      <c r="F230" s="162"/>
    </row>
    <row r="231" spans="1:6">
      <c r="A231" s="146"/>
      <c r="B231" s="158"/>
      <c r="C231" s="163"/>
      <c r="D231" s="149"/>
      <c r="E231" s="160"/>
      <c r="F231" s="162"/>
    </row>
    <row r="232" hidden="1" spans="1:6">
      <c r="A232" s="146" t="s">
        <v>243</v>
      </c>
      <c r="B232" s="155" t="s">
        <v>285</v>
      </c>
      <c r="C232" s="156" t="s">
        <v>283</v>
      </c>
      <c r="D232" s="159">
        <v>4700</v>
      </c>
      <c r="E232" s="164"/>
      <c r="F232" s="162"/>
    </row>
    <row r="233" hidden="1" spans="1:6">
      <c r="A233" s="146" t="s">
        <v>245</v>
      </c>
      <c r="B233" s="155"/>
      <c r="C233" s="156"/>
      <c r="D233" s="159">
        <v>4750</v>
      </c>
      <c r="E233" s="157"/>
      <c r="F233" s="162"/>
    </row>
    <row r="234" hidden="1" spans="1:6">
      <c r="A234" s="146" t="s">
        <v>246</v>
      </c>
      <c r="B234" s="158"/>
      <c r="C234" s="159"/>
      <c r="D234" s="159">
        <v>4850</v>
      </c>
      <c r="E234" s="160"/>
      <c r="F234" s="162"/>
    </row>
    <row r="235" spans="1:6">
      <c r="A235" s="146"/>
      <c r="B235" s="158"/>
      <c r="C235" s="159"/>
      <c r="D235" s="159"/>
      <c r="E235" s="160"/>
      <c r="F235" s="162"/>
    </row>
    <row r="236" spans="1:6">
      <c r="A236" s="146" t="s">
        <v>247</v>
      </c>
      <c r="B236" s="155" t="s">
        <v>286</v>
      </c>
      <c r="C236" s="156" t="s">
        <v>283</v>
      </c>
      <c r="D236" s="159">
        <v>4750</v>
      </c>
      <c r="E236" s="157" t="s">
        <v>249</v>
      </c>
      <c r="F236" s="162"/>
    </row>
    <row r="237" spans="1:6">
      <c r="A237" s="146" t="s">
        <v>250</v>
      </c>
      <c r="B237" s="155"/>
      <c r="C237" s="156"/>
      <c r="D237" s="159">
        <v>4850</v>
      </c>
      <c r="E237" s="157"/>
      <c r="F237" s="162"/>
    </row>
    <row r="238" spans="1:6">
      <c r="A238" s="146" t="s">
        <v>251</v>
      </c>
      <c r="B238" s="155"/>
      <c r="C238" s="156"/>
      <c r="D238" s="159">
        <v>4900</v>
      </c>
      <c r="E238" s="157"/>
      <c r="F238" s="162"/>
    </row>
    <row r="239" spans="1:6">
      <c r="A239" s="146" t="s">
        <v>252</v>
      </c>
      <c r="B239" s="155"/>
      <c r="C239" s="156"/>
      <c r="D239" s="159">
        <v>5000</v>
      </c>
      <c r="E239" s="157"/>
      <c r="F239" s="162"/>
    </row>
    <row r="240" spans="1:6">
      <c r="A240" s="146" t="s">
        <v>253</v>
      </c>
      <c r="B240" s="158"/>
      <c r="C240" s="159"/>
      <c r="D240" s="159">
        <v>4900</v>
      </c>
      <c r="E240" s="160"/>
      <c r="F240" s="162"/>
    </row>
    <row r="241" spans="1:6">
      <c r="A241" s="146"/>
      <c r="B241" s="158"/>
      <c r="C241" s="159"/>
      <c r="D241" s="159"/>
      <c r="E241" s="160"/>
      <c r="F241" s="162"/>
    </row>
    <row r="242" spans="1:6">
      <c r="A242" s="146" t="s">
        <v>135</v>
      </c>
      <c r="B242" s="155" t="s">
        <v>287</v>
      </c>
      <c r="C242" s="156" t="s">
        <v>283</v>
      </c>
      <c r="D242" s="159">
        <v>5250</v>
      </c>
      <c r="E242" s="157" t="s">
        <v>280</v>
      </c>
      <c r="F242" s="162"/>
    </row>
    <row r="243" spans="1:6">
      <c r="A243" s="146" t="s">
        <v>138</v>
      </c>
      <c r="B243" s="155"/>
      <c r="C243" s="156"/>
      <c r="D243" s="159">
        <v>4900</v>
      </c>
      <c r="E243" s="157"/>
      <c r="F243" s="162"/>
    </row>
    <row r="244" spans="1:6">
      <c r="A244" s="146" t="s">
        <v>136</v>
      </c>
      <c r="B244" s="155"/>
      <c r="C244" s="156"/>
      <c r="D244" s="159">
        <v>5150</v>
      </c>
      <c r="E244" s="157"/>
      <c r="F244" s="162"/>
    </row>
    <row r="245" spans="1:6">
      <c r="A245" s="146" t="s">
        <v>139</v>
      </c>
      <c r="B245" s="155"/>
      <c r="C245" s="156"/>
      <c r="D245" s="159">
        <v>5350</v>
      </c>
      <c r="E245" s="157"/>
      <c r="F245" s="162"/>
    </row>
    <row r="246" spans="1:6">
      <c r="A246" s="146" t="s">
        <v>165</v>
      </c>
      <c r="B246" s="155"/>
      <c r="C246" s="156"/>
      <c r="D246" s="159">
        <v>4650</v>
      </c>
      <c r="E246" s="157"/>
      <c r="F246" s="162"/>
    </row>
    <row r="247" spans="1:6">
      <c r="A247" s="146" t="s">
        <v>166</v>
      </c>
      <c r="B247" s="158"/>
      <c r="C247" s="159"/>
      <c r="D247" s="159">
        <v>4650</v>
      </c>
      <c r="E247" s="160"/>
      <c r="F247" s="162"/>
    </row>
    <row r="248" spans="1:6">
      <c r="A248" s="146"/>
      <c r="B248" s="161"/>
      <c r="C248" s="149"/>
      <c r="D248" s="149"/>
      <c r="E248" s="165"/>
      <c r="F248" s="151"/>
    </row>
    <row r="249" spans="1:6">
      <c r="A249" s="166"/>
      <c r="B249" s="167"/>
      <c r="C249" s="168"/>
      <c r="D249" s="169"/>
      <c r="E249" s="168"/>
      <c r="F249" s="170"/>
    </row>
    <row r="250" hidden="1" spans="1:6">
      <c r="A250" s="166" t="s">
        <v>191</v>
      </c>
      <c r="B250" s="171" t="s">
        <v>288</v>
      </c>
      <c r="C250" s="169" t="s">
        <v>289</v>
      </c>
      <c r="D250" s="169"/>
      <c r="E250" s="172"/>
      <c r="F250" s="170"/>
    </row>
    <row r="251" hidden="1" spans="1:6">
      <c r="A251" s="166" t="s">
        <v>290</v>
      </c>
      <c r="B251" s="171"/>
      <c r="C251" s="169"/>
      <c r="D251" s="169"/>
      <c r="E251" s="173"/>
      <c r="F251" s="170"/>
    </row>
    <row r="252" hidden="1" spans="1:6">
      <c r="A252" s="166" t="s">
        <v>291</v>
      </c>
      <c r="B252" s="171"/>
      <c r="C252" s="169"/>
      <c r="D252" s="169"/>
      <c r="E252" s="173"/>
      <c r="F252" s="170"/>
    </row>
    <row r="253" hidden="1" spans="1:6">
      <c r="A253" s="166" t="s">
        <v>128</v>
      </c>
      <c r="B253" s="171"/>
      <c r="C253" s="169"/>
      <c r="D253" s="169"/>
      <c r="E253" s="173"/>
      <c r="F253" s="170"/>
    </row>
    <row r="254" hidden="1" spans="1:6">
      <c r="A254" s="166" t="s">
        <v>292</v>
      </c>
      <c r="B254" s="171"/>
      <c r="C254" s="169"/>
      <c r="D254" s="169"/>
      <c r="E254" s="173"/>
      <c r="F254" s="170"/>
    </row>
    <row r="255" hidden="1" spans="1:6">
      <c r="A255" s="166" t="s">
        <v>293</v>
      </c>
      <c r="B255" s="171"/>
      <c r="C255" s="169"/>
      <c r="D255" s="169"/>
      <c r="E255" s="173"/>
      <c r="F255" s="170"/>
    </row>
    <row r="256" hidden="1" spans="1:6">
      <c r="A256" s="166" t="s">
        <v>178</v>
      </c>
      <c r="B256" s="171"/>
      <c r="C256" s="169"/>
      <c r="D256" s="169"/>
      <c r="E256" s="173"/>
      <c r="F256" s="170"/>
    </row>
    <row r="257" hidden="1" spans="1:6">
      <c r="A257" s="166" t="s">
        <v>232</v>
      </c>
      <c r="B257" s="171"/>
      <c r="C257" s="169"/>
      <c r="D257" s="169"/>
      <c r="E257" s="173"/>
      <c r="F257" s="170"/>
    </row>
    <row r="258" hidden="1" spans="1:6">
      <c r="A258" s="166" t="s">
        <v>246</v>
      </c>
      <c r="B258" s="171"/>
      <c r="C258" s="169"/>
      <c r="D258" s="169"/>
      <c r="E258" s="173"/>
      <c r="F258" s="170"/>
    </row>
    <row r="259" hidden="1" spans="1:6">
      <c r="A259" s="166" t="s">
        <v>171</v>
      </c>
      <c r="B259" s="171"/>
      <c r="C259" s="169"/>
      <c r="D259" s="169"/>
      <c r="E259" s="173"/>
      <c r="F259" s="170"/>
    </row>
    <row r="260" hidden="1" spans="1:6">
      <c r="A260" s="166" t="s">
        <v>140</v>
      </c>
      <c r="B260" s="171"/>
      <c r="C260" s="169"/>
      <c r="D260" s="169"/>
      <c r="E260" s="173"/>
      <c r="F260" s="170"/>
    </row>
    <row r="261" spans="1:6">
      <c r="A261" s="166"/>
      <c r="B261" s="167"/>
      <c r="C261" s="168"/>
      <c r="D261" s="169"/>
      <c r="E261" s="168"/>
      <c r="F261" s="170"/>
    </row>
    <row r="262" spans="1:6">
      <c r="A262" s="166" t="s">
        <v>191</v>
      </c>
      <c r="B262" s="174" t="s">
        <v>294</v>
      </c>
      <c r="C262" s="175" t="s">
        <v>289</v>
      </c>
      <c r="D262" s="169">
        <v>5750</v>
      </c>
      <c r="E262" s="175" t="s">
        <v>295</v>
      </c>
      <c r="F262" s="170"/>
    </row>
    <row r="263" spans="1:6">
      <c r="A263" s="166" t="s">
        <v>290</v>
      </c>
      <c r="B263" s="176"/>
      <c r="C263" s="177"/>
      <c r="D263" s="169">
        <v>5950</v>
      </c>
      <c r="E263" s="177"/>
      <c r="F263" s="170"/>
    </row>
    <row r="264" spans="1:6">
      <c r="A264" s="166" t="s">
        <v>291</v>
      </c>
      <c r="B264" s="176"/>
      <c r="C264" s="177"/>
      <c r="D264" s="169">
        <v>5650</v>
      </c>
      <c r="E264" s="177"/>
      <c r="F264" s="170"/>
    </row>
    <row r="265" spans="1:6">
      <c r="A265" s="166" t="s">
        <v>128</v>
      </c>
      <c r="B265" s="176"/>
      <c r="C265" s="177"/>
      <c r="D265" s="169">
        <v>5700</v>
      </c>
      <c r="E265" s="177"/>
      <c r="F265" s="170"/>
    </row>
    <row r="266" spans="1:6">
      <c r="A266" s="166" t="s">
        <v>292</v>
      </c>
      <c r="B266" s="176"/>
      <c r="C266" s="177"/>
      <c r="D266" s="169">
        <v>5850</v>
      </c>
      <c r="E266" s="177"/>
      <c r="F266" s="170"/>
    </row>
    <row r="267" spans="1:6">
      <c r="A267" s="166" t="s">
        <v>296</v>
      </c>
      <c r="B267" s="176"/>
      <c r="C267" s="177"/>
      <c r="D267" s="169">
        <v>5950</v>
      </c>
      <c r="E267" s="177"/>
      <c r="F267" s="170"/>
    </row>
    <row r="268" spans="1:6">
      <c r="A268" s="166" t="s">
        <v>178</v>
      </c>
      <c r="B268" s="176"/>
      <c r="C268" s="177"/>
      <c r="D268" s="169">
        <v>5850</v>
      </c>
      <c r="E268" s="177"/>
      <c r="F268" s="170"/>
    </row>
    <row r="269" spans="1:6">
      <c r="A269" s="166" t="s">
        <v>232</v>
      </c>
      <c r="B269" s="176"/>
      <c r="C269" s="177"/>
      <c r="D269" s="169">
        <v>5950</v>
      </c>
      <c r="E269" s="177"/>
      <c r="F269" s="170"/>
    </row>
    <row r="270" spans="1:6">
      <c r="A270" s="166" t="s">
        <v>246</v>
      </c>
      <c r="B270" s="176"/>
      <c r="C270" s="177"/>
      <c r="D270" s="169">
        <v>6250</v>
      </c>
      <c r="E270" s="177"/>
      <c r="F270" s="170"/>
    </row>
    <row r="271" spans="1:6">
      <c r="A271" s="166" t="s">
        <v>167</v>
      </c>
      <c r="B271" s="176"/>
      <c r="C271" s="177"/>
      <c r="D271" s="169">
        <v>4400</v>
      </c>
      <c r="E271" s="177"/>
      <c r="F271" s="170"/>
    </row>
    <row r="272" spans="1:6">
      <c r="A272" s="166" t="s">
        <v>140</v>
      </c>
      <c r="B272" s="178"/>
      <c r="C272" s="179"/>
      <c r="D272" s="169">
        <v>6050</v>
      </c>
      <c r="E272" s="179"/>
      <c r="F272" s="170"/>
    </row>
    <row r="273" spans="1:6">
      <c r="A273" s="166"/>
      <c r="B273" s="180"/>
      <c r="C273" s="181"/>
      <c r="D273" s="169"/>
      <c r="E273" s="181"/>
      <c r="F273" s="170"/>
    </row>
    <row r="274" spans="1:6">
      <c r="A274" s="166" t="s">
        <v>201</v>
      </c>
      <c r="B274" s="176" t="s">
        <v>297</v>
      </c>
      <c r="C274" s="177" t="s">
        <v>289</v>
      </c>
      <c r="D274" s="169">
        <v>5400</v>
      </c>
      <c r="E274" s="177">
        <v>5.26</v>
      </c>
      <c r="F274" s="182" t="s">
        <v>175</v>
      </c>
    </row>
    <row r="275" spans="1:6">
      <c r="A275" s="166" t="s">
        <v>298</v>
      </c>
      <c r="B275" s="176"/>
      <c r="C275" s="177"/>
      <c r="D275" s="169">
        <v>5550</v>
      </c>
      <c r="E275" s="177"/>
      <c r="F275" s="183"/>
    </row>
    <row r="276" spans="1:6">
      <c r="A276" s="166" t="s">
        <v>155</v>
      </c>
      <c r="B276" s="176"/>
      <c r="C276" s="177"/>
      <c r="D276" s="169">
        <v>5750</v>
      </c>
      <c r="E276" s="177"/>
      <c r="F276" s="183"/>
    </row>
    <row r="277" spans="1:6">
      <c r="A277" s="166" t="s">
        <v>299</v>
      </c>
      <c r="B277" s="176"/>
      <c r="C277" s="177"/>
      <c r="D277" s="169">
        <v>5600</v>
      </c>
      <c r="E277" s="177"/>
      <c r="F277" s="183"/>
    </row>
    <row r="278" spans="1:6">
      <c r="A278" s="166" t="s">
        <v>300</v>
      </c>
      <c r="B278" s="176"/>
      <c r="C278" s="177"/>
      <c r="D278" s="169">
        <v>5850</v>
      </c>
      <c r="E278" s="177"/>
      <c r="F278" s="183"/>
    </row>
    <row r="279" spans="1:6">
      <c r="A279" s="166" t="s">
        <v>146</v>
      </c>
      <c r="B279" s="176"/>
      <c r="C279" s="177"/>
      <c r="D279" s="169">
        <v>5950</v>
      </c>
      <c r="E279" s="177"/>
      <c r="F279" s="183"/>
    </row>
    <row r="280" spans="1:6">
      <c r="A280" s="166" t="s">
        <v>136</v>
      </c>
      <c r="B280" s="178"/>
      <c r="C280" s="179"/>
      <c r="D280" s="169">
        <v>5550</v>
      </c>
      <c r="E280" s="179"/>
      <c r="F280" s="184"/>
    </row>
    <row r="281" spans="1:6">
      <c r="A281" s="166"/>
      <c r="B281" s="180"/>
      <c r="C281" s="181"/>
      <c r="D281" s="169"/>
      <c r="E281" s="181"/>
      <c r="F281" s="170"/>
    </row>
    <row r="282" hidden="1" spans="1:6">
      <c r="A282" s="166" t="s">
        <v>147</v>
      </c>
      <c r="B282" s="176" t="s">
        <v>301</v>
      </c>
      <c r="C282" s="177" t="s">
        <v>289</v>
      </c>
      <c r="D282" s="169"/>
      <c r="E282" s="185"/>
      <c r="F282" s="170"/>
    </row>
    <row r="283" hidden="1" spans="1:6">
      <c r="A283" s="166" t="s">
        <v>302</v>
      </c>
      <c r="B283" s="176"/>
      <c r="C283" s="177"/>
      <c r="D283" s="169"/>
      <c r="E283" s="177"/>
      <c r="F283" s="170"/>
    </row>
    <row r="284" hidden="1" spans="1:6">
      <c r="A284" s="166" t="s">
        <v>239</v>
      </c>
      <c r="B284" s="176"/>
      <c r="C284" s="177"/>
      <c r="D284" s="169"/>
      <c r="E284" s="177"/>
      <c r="F284" s="170"/>
    </row>
    <row r="285" hidden="1" spans="1:6">
      <c r="A285" s="166" t="s">
        <v>222</v>
      </c>
      <c r="B285" s="176"/>
      <c r="C285" s="177"/>
      <c r="D285" s="169"/>
      <c r="E285" s="177"/>
      <c r="F285" s="170"/>
    </row>
    <row r="286" hidden="1" spans="1:6">
      <c r="A286" s="166" t="s">
        <v>303</v>
      </c>
      <c r="B286" s="178"/>
      <c r="C286" s="179"/>
      <c r="D286" s="169"/>
      <c r="E286" s="179"/>
      <c r="F286" s="170"/>
    </row>
    <row r="287" spans="1:6">
      <c r="A287" s="166"/>
      <c r="B287" s="180"/>
      <c r="C287" s="181"/>
      <c r="D287" s="169"/>
      <c r="E287" s="181"/>
      <c r="F287" s="170"/>
    </row>
    <row r="288" spans="1:6">
      <c r="A288" s="166" t="s">
        <v>304</v>
      </c>
      <c r="B288" s="176" t="s">
        <v>305</v>
      </c>
      <c r="C288" s="177" t="s">
        <v>289</v>
      </c>
      <c r="D288" s="169">
        <v>5600</v>
      </c>
      <c r="E288" s="177">
        <v>5.29</v>
      </c>
      <c r="F288" s="170"/>
    </row>
    <row r="289" spans="1:6">
      <c r="A289" s="166" t="s">
        <v>262</v>
      </c>
      <c r="B289" s="176"/>
      <c r="C289" s="177"/>
      <c r="D289" s="169">
        <v>5950</v>
      </c>
      <c r="E289" s="177"/>
      <c r="F289" s="170"/>
    </row>
    <row r="290" spans="1:6">
      <c r="A290" s="166" t="s">
        <v>263</v>
      </c>
      <c r="B290" s="178"/>
      <c r="C290" s="179"/>
      <c r="D290" s="169">
        <v>5100</v>
      </c>
      <c r="E290" s="179"/>
      <c r="F290" s="170"/>
    </row>
    <row r="291" spans="1:6">
      <c r="A291" s="166"/>
      <c r="B291" s="167"/>
      <c r="C291" s="168"/>
      <c r="D291" s="169"/>
      <c r="E291" s="168"/>
      <c r="F291" s="170"/>
    </row>
    <row r="292" hidden="1" spans="1:6">
      <c r="A292" s="168" t="s">
        <v>306</v>
      </c>
      <c r="B292" s="171" t="s">
        <v>307</v>
      </c>
      <c r="C292" s="169" t="s">
        <v>289</v>
      </c>
      <c r="D292" s="169">
        <v>5950</v>
      </c>
      <c r="E292" s="186"/>
      <c r="F292" s="170"/>
    </row>
    <row r="293" hidden="1" spans="1:6">
      <c r="A293" s="168" t="s">
        <v>178</v>
      </c>
      <c r="B293" s="171"/>
      <c r="C293" s="169"/>
      <c r="D293" s="169">
        <v>5750</v>
      </c>
      <c r="E293" s="169"/>
      <c r="F293" s="170"/>
    </row>
    <row r="294" hidden="1" spans="1:6">
      <c r="A294" s="168" t="s">
        <v>187</v>
      </c>
      <c r="B294" s="171"/>
      <c r="C294" s="169"/>
      <c r="D294" s="169">
        <v>5800</v>
      </c>
      <c r="E294" s="169"/>
      <c r="F294" s="170"/>
    </row>
    <row r="295" hidden="1" spans="1:6">
      <c r="A295" s="168" t="s">
        <v>188</v>
      </c>
      <c r="B295" s="171"/>
      <c r="C295" s="169"/>
      <c r="D295" s="169">
        <v>6000</v>
      </c>
      <c r="E295" s="169"/>
      <c r="F295" s="170"/>
    </row>
    <row r="296" hidden="1" spans="1:6">
      <c r="A296" s="168" t="s">
        <v>182</v>
      </c>
      <c r="B296" s="171"/>
      <c r="C296" s="169"/>
      <c r="D296" s="169">
        <v>5950</v>
      </c>
      <c r="E296" s="169"/>
      <c r="F296" s="170"/>
    </row>
    <row r="297" hidden="1" spans="1:6">
      <c r="A297" s="168" t="s">
        <v>189</v>
      </c>
      <c r="B297" s="171"/>
      <c r="C297" s="169"/>
      <c r="D297" s="169">
        <v>5900</v>
      </c>
      <c r="E297" s="169"/>
      <c r="F297" s="170"/>
    </row>
    <row r="298" hidden="1" spans="1:6">
      <c r="A298" s="168" t="s">
        <v>308</v>
      </c>
      <c r="B298" s="171"/>
      <c r="C298" s="169"/>
      <c r="D298" s="169">
        <v>6050</v>
      </c>
      <c r="E298" s="169"/>
      <c r="F298" s="170"/>
    </row>
    <row r="299" hidden="1" spans="1:6">
      <c r="A299" s="168" t="s">
        <v>309</v>
      </c>
      <c r="B299" s="171"/>
      <c r="C299" s="169"/>
      <c r="D299" s="169">
        <v>6100</v>
      </c>
      <c r="E299" s="169"/>
      <c r="F299" s="170"/>
    </row>
  </sheetData>
  <mergeCells count="140">
    <mergeCell ref="B2:B6"/>
    <mergeCell ref="B8:B12"/>
    <mergeCell ref="B15:B21"/>
    <mergeCell ref="B23:B28"/>
    <mergeCell ref="B30:B37"/>
    <mergeCell ref="B39:B46"/>
    <mergeCell ref="B48:B51"/>
    <mergeCell ref="B54:B60"/>
    <mergeCell ref="B62:B66"/>
    <mergeCell ref="B68:B73"/>
    <mergeCell ref="B75:B81"/>
    <mergeCell ref="B83:B93"/>
    <mergeCell ref="B94:B98"/>
    <mergeCell ref="B100:B104"/>
    <mergeCell ref="B106:B110"/>
    <mergeCell ref="B112:B121"/>
    <mergeCell ref="B123:B133"/>
    <mergeCell ref="B135:B139"/>
    <mergeCell ref="B141:B144"/>
    <mergeCell ref="B147:B155"/>
    <mergeCell ref="B157:B159"/>
    <mergeCell ref="B161:B165"/>
    <mergeCell ref="B167:B173"/>
    <mergeCell ref="B175:B178"/>
    <mergeCell ref="B180:B183"/>
    <mergeCell ref="B185:B186"/>
    <mergeCell ref="B188:B192"/>
    <mergeCell ref="B194:B197"/>
    <mergeCell ref="B199:B204"/>
    <mergeCell ref="B206:B208"/>
    <mergeCell ref="B210:B215"/>
    <mergeCell ref="B217:B220"/>
    <mergeCell ref="B222:B225"/>
    <mergeCell ref="B227:B230"/>
    <mergeCell ref="B232:B234"/>
    <mergeCell ref="B236:B240"/>
    <mergeCell ref="B242:B247"/>
    <mergeCell ref="B250:B260"/>
    <mergeCell ref="B262:B272"/>
    <mergeCell ref="B274:B280"/>
    <mergeCell ref="B282:B286"/>
    <mergeCell ref="B288:B290"/>
    <mergeCell ref="B292:B299"/>
    <mergeCell ref="C2:C6"/>
    <mergeCell ref="C8:C12"/>
    <mergeCell ref="C15:C21"/>
    <mergeCell ref="C23:C28"/>
    <mergeCell ref="C30:C37"/>
    <mergeCell ref="C39:C46"/>
    <mergeCell ref="C48:C51"/>
    <mergeCell ref="C54:C60"/>
    <mergeCell ref="C62:C66"/>
    <mergeCell ref="C68:C73"/>
    <mergeCell ref="C75:C81"/>
    <mergeCell ref="C83:C93"/>
    <mergeCell ref="C94:C98"/>
    <mergeCell ref="C100:C104"/>
    <mergeCell ref="C106:C110"/>
    <mergeCell ref="C112:C121"/>
    <mergeCell ref="C123:C133"/>
    <mergeCell ref="C135:C139"/>
    <mergeCell ref="C141:C144"/>
    <mergeCell ref="C147:C155"/>
    <mergeCell ref="C157:C159"/>
    <mergeCell ref="C161:C165"/>
    <mergeCell ref="C167:C173"/>
    <mergeCell ref="C175:C178"/>
    <mergeCell ref="C180:C183"/>
    <mergeCell ref="C185:C186"/>
    <mergeCell ref="C188:C192"/>
    <mergeCell ref="C194:C197"/>
    <mergeCell ref="C199:C204"/>
    <mergeCell ref="C206:C208"/>
    <mergeCell ref="C210:C215"/>
    <mergeCell ref="C217:C220"/>
    <mergeCell ref="C222:C225"/>
    <mergeCell ref="C227:C230"/>
    <mergeCell ref="C232:C234"/>
    <mergeCell ref="C236:C240"/>
    <mergeCell ref="C242:C247"/>
    <mergeCell ref="C250:C260"/>
    <mergeCell ref="C262:C272"/>
    <mergeCell ref="C274:C280"/>
    <mergeCell ref="C282:C286"/>
    <mergeCell ref="C288:C290"/>
    <mergeCell ref="C292:C299"/>
    <mergeCell ref="E2:E6"/>
    <mergeCell ref="E8:E12"/>
    <mergeCell ref="E15:E21"/>
    <mergeCell ref="E23:E28"/>
    <mergeCell ref="E30:E37"/>
    <mergeCell ref="E39:E46"/>
    <mergeCell ref="E48:E51"/>
    <mergeCell ref="E54:E60"/>
    <mergeCell ref="E62:E66"/>
    <mergeCell ref="E68:E73"/>
    <mergeCell ref="E75:E81"/>
    <mergeCell ref="E83:E93"/>
    <mergeCell ref="E94:E98"/>
    <mergeCell ref="E100:E104"/>
    <mergeCell ref="E106:E110"/>
    <mergeCell ref="E112:E121"/>
    <mergeCell ref="E123:E133"/>
    <mergeCell ref="E135:E139"/>
    <mergeCell ref="E141:E144"/>
    <mergeCell ref="E147:E155"/>
    <mergeCell ref="E157:E159"/>
    <mergeCell ref="E161:E165"/>
    <mergeCell ref="E167:E173"/>
    <mergeCell ref="E175:E178"/>
    <mergeCell ref="E180:E183"/>
    <mergeCell ref="E185:E186"/>
    <mergeCell ref="E188:E192"/>
    <mergeCell ref="E194:E197"/>
    <mergeCell ref="E199:E204"/>
    <mergeCell ref="E206:E208"/>
    <mergeCell ref="E210:E215"/>
    <mergeCell ref="E217:E220"/>
    <mergeCell ref="E222:E225"/>
    <mergeCell ref="E227:E230"/>
    <mergeCell ref="E232:E234"/>
    <mergeCell ref="E236:E240"/>
    <mergeCell ref="E242:E247"/>
    <mergeCell ref="E250:E260"/>
    <mergeCell ref="E262:E272"/>
    <mergeCell ref="E274:E280"/>
    <mergeCell ref="E282:E286"/>
    <mergeCell ref="E288:E290"/>
    <mergeCell ref="E292:E299"/>
    <mergeCell ref="F2:F6"/>
    <mergeCell ref="F8:F12"/>
    <mergeCell ref="F15:F21"/>
    <mergeCell ref="F39:F46"/>
    <mergeCell ref="F48:F51"/>
    <mergeCell ref="F54:F60"/>
    <mergeCell ref="F62:F66"/>
    <mergeCell ref="F75:F81"/>
    <mergeCell ref="F83:F93"/>
    <mergeCell ref="F147:F155"/>
    <mergeCell ref="F274:F280"/>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8"/>
  </sheetPr>
  <dimension ref="A1:G89"/>
  <sheetViews>
    <sheetView tabSelected="1" workbookViewId="0">
      <selection activeCell="J36" sqref="J36"/>
    </sheetView>
  </sheetViews>
  <sheetFormatPr defaultColWidth="9" defaultRowHeight="13.5" outlineLevelCol="6"/>
  <cols>
    <col min="1" max="1" width="24.25" customWidth="1"/>
    <col min="2" max="2" width="13.125" customWidth="1"/>
    <col min="3" max="3" width="33.625" customWidth="1"/>
    <col min="4" max="4" width="17.625" hidden="1" customWidth="1"/>
    <col min="5" max="5" width="28.375" customWidth="1"/>
    <col min="6" max="6" width="14" customWidth="1"/>
    <col min="7" max="7" width="18.5" customWidth="1"/>
  </cols>
  <sheetData>
    <row r="1" ht="20.25" spans="1:7">
      <c r="A1" s="15" t="s">
        <v>310</v>
      </c>
      <c r="B1" s="15"/>
      <c r="C1" s="15"/>
      <c r="D1" s="16"/>
      <c r="E1" s="15"/>
      <c r="F1" s="15"/>
      <c r="G1" s="15"/>
    </row>
    <row r="2" ht="20.25" spans="1:7">
      <c r="A2" s="15" t="s">
        <v>311</v>
      </c>
      <c r="B2" s="17"/>
      <c r="C2" s="17"/>
      <c r="D2" s="18"/>
      <c r="E2" s="17"/>
      <c r="F2" s="17"/>
      <c r="G2" s="17"/>
    </row>
    <row r="3" ht="20.25" spans="1:7">
      <c r="A3" s="15" t="s">
        <v>312</v>
      </c>
      <c r="B3" s="17"/>
      <c r="C3" s="17"/>
      <c r="D3" s="18"/>
      <c r="E3" s="17"/>
      <c r="F3" s="17"/>
      <c r="G3" s="17"/>
    </row>
    <row r="4" ht="80" customHeight="1" spans="1:7">
      <c r="A4" s="19"/>
      <c r="B4" s="20" t="s">
        <v>313</v>
      </c>
      <c r="C4" s="21"/>
      <c r="D4" s="22"/>
      <c r="E4" s="21" t="s">
        <v>314</v>
      </c>
      <c r="F4" s="23" t="s">
        <v>315</v>
      </c>
      <c r="G4" s="24" t="s">
        <v>316</v>
      </c>
    </row>
    <row r="5" ht="14.25" spans="1:7">
      <c r="A5" s="25" t="s">
        <v>317</v>
      </c>
      <c r="B5" s="26" t="s">
        <v>318</v>
      </c>
      <c r="C5" s="26" t="s">
        <v>319</v>
      </c>
      <c r="D5" s="26" t="s">
        <v>320</v>
      </c>
      <c r="E5" s="27">
        <v>10200</v>
      </c>
      <c r="F5" s="28" t="s">
        <v>321</v>
      </c>
      <c r="G5" s="26" t="s">
        <v>322</v>
      </c>
    </row>
    <row r="6" ht="14.25" spans="1:7">
      <c r="A6" s="26"/>
      <c r="B6" s="26" t="s">
        <v>318</v>
      </c>
      <c r="C6" s="26" t="s">
        <v>323</v>
      </c>
      <c r="D6" s="26" t="s">
        <v>324</v>
      </c>
      <c r="E6" s="27">
        <v>10800</v>
      </c>
      <c r="F6" s="29" t="s">
        <v>321</v>
      </c>
      <c r="G6" s="26"/>
    </row>
    <row r="7" ht="14.25" spans="1:7">
      <c r="A7" s="26"/>
      <c r="B7" s="26" t="s">
        <v>318</v>
      </c>
      <c r="C7" s="26" t="s">
        <v>325</v>
      </c>
      <c r="D7" s="26" t="s">
        <v>326</v>
      </c>
      <c r="E7" s="27">
        <v>9200</v>
      </c>
      <c r="F7" s="28" t="s">
        <v>321</v>
      </c>
      <c r="G7" s="26"/>
    </row>
    <row r="8" ht="14.25" spans="1:7">
      <c r="A8" s="26"/>
      <c r="B8" s="26" t="s">
        <v>327</v>
      </c>
      <c r="C8" s="26" t="s">
        <v>328</v>
      </c>
      <c r="D8" s="26" t="s">
        <v>329</v>
      </c>
      <c r="E8" s="27">
        <v>10700</v>
      </c>
      <c r="F8" s="28" t="s">
        <v>330</v>
      </c>
      <c r="G8" s="26"/>
    </row>
    <row r="9" ht="14.25" spans="1:7">
      <c r="A9" s="26"/>
      <c r="B9" s="26" t="s">
        <v>318</v>
      </c>
      <c r="C9" s="26" t="s">
        <v>331</v>
      </c>
      <c r="D9" s="26" t="s">
        <v>332</v>
      </c>
      <c r="E9" s="27">
        <v>9700</v>
      </c>
      <c r="F9" s="28" t="s">
        <v>321</v>
      </c>
      <c r="G9" s="26"/>
    </row>
    <row r="10" ht="15.75" spans="1:7">
      <c r="A10" s="30" t="s">
        <v>333</v>
      </c>
      <c r="B10" s="31" t="s">
        <v>318</v>
      </c>
      <c r="C10" s="32" t="s">
        <v>319</v>
      </c>
      <c r="D10" s="33" t="s">
        <v>320</v>
      </c>
      <c r="E10" s="19">
        <v>10200</v>
      </c>
      <c r="F10" s="32" t="s">
        <v>321</v>
      </c>
      <c r="G10" s="34" t="s">
        <v>322</v>
      </c>
    </row>
    <row r="11" ht="15.75" spans="1:7">
      <c r="A11" s="34"/>
      <c r="B11" s="31" t="s">
        <v>318</v>
      </c>
      <c r="C11" s="32" t="s">
        <v>323</v>
      </c>
      <c r="D11" s="33" t="s">
        <v>324</v>
      </c>
      <c r="E11" s="19">
        <v>10900</v>
      </c>
      <c r="F11" s="32" t="s">
        <v>321</v>
      </c>
      <c r="G11" s="34"/>
    </row>
    <row r="12" ht="15.75" spans="1:7">
      <c r="A12" s="34"/>
      <c r="B12" s="31" t="s">
        <v>318</v>
      </c>
      <c r="C12" s="32" t="s">
        <v>325</v>
      </c>
      <c r="D12" s="33" t="s">
        <v>326</v>
      </c>
      <c r="E12" s="19">
        <v>9300</v>
      </c>
      <c r="F12" s="32" t="s">
        <v>321</v>
      </c>
      <c r="G12" s="34"/>
    </row>
    <row r="13" ht="15.75" spans="1:7">
      <c r="A13" s="34"/>
      <c r="B13" s="31" t="s">
        <v>327</v>
      </c>
      <c r="C13" s="32" t="s">
        <v>328</v>
      </c>
      <c r="D13" s="33" t="s">
        <v>329</v>
      </c>
      <c r="E13" s="19">
        <v>10800</v>
      </c>
      <c r="F13" s="32" t="s">
        <v>330</v>
      </c>
      <c r="G13" s="34"/>
    </row>
    <row r="14" ht="14.25" spans="1:7">
      <c r="A14" s="35"/>
      <c r="B14" s="32" t="s">
        <v>318</v>
      </c>
      <c r="C14" s="32" t="s">
        <v>331</v>
      </c>
      <c r="D14" s="33" t="s">
        <v>332</v>
      </c>
      <c r="E14" s="19">
        <v>9800</v>
      </c>
      <c r="F14" s="32" t="s">
        <v>321</v>
      </c>
      <c r="G14" s="35"/>
    </row>
    <row r="15" ht="14.25" spans="1:7">
      <c r="A15" s="26" t="s">
        <v>334</v>
      </c>
      <c r="B15" s="26" t="s">
        <v>318</v>
      </c>
      <c r="C15" s="26" t="s">
        <v>319</v>
      </c>
      <c r="D15" s="26" t="s">
        <v>320</v>
      </c>
      <c r="E15" s="27">
        <v>10100</v>
      </c>
      <c r="F15" s="26" t="s">
        <v>321</v>
      </c>
      <c r="G15" s="26" t="s">
        <v>322</v>
      </c>
    </row>
    <row r="16" ht="14.25" spans="1:7">
      <c r="A16" s="26"/>
      <c r="B16" s="26" t="s">
        <v>318</v>
      </c>
      <c r="C16" s="26" t="s">
        <v>323</v>
      </c>
      <c r="D16" s="26" t="s">
        <v>324</v>
      </c>
      <c r="E16" s="27">
        <v>10700</v>
      </c>
      <c r="F16" s="26" t="s">
        <v>321</v>
      </c>
      <c r="G16" s="26"/>
    </row>
    <row r="17" ht="14.25" spans="1:7">
      <c r="A17" s="26"/>
      <c r="B17" s="26" t="s">
        <v>318</v>
      </c>
      <c r="C17" s="26" t="s">
        <v>325</v>
      </c>
      <c r="D17" s="26" t="s">
        <v>326</v>
      </c>
      <c r="E17" s="27">
        <v>9100</v>
      </c>
      <c r="F17" s="26" t="s">
        <v>321</v>
      </c>
      <c r="G17" s="26"/>
    </row>
    <row r="18" ht="14.25" spans="1:7">
      <c r="A18" s="26"/>
      <c r="B18" s="26" t="s">
        <v>327</v>
      </c>
      <c r="C18" s="26" t="s">
        <v>328</v>
      </c>
      <c r="D18" s="26" t="s">
        <v>329</v>
      </c>
      <c r="E18" s="27">
        <v>10600</v>
      </c>
      <c r="F18" s="26" t="s">
        <v>330</v>
      </c>
      <c r="G18" s="26"/>
    </row>
    <row r="19" ht="14.25" spans="1:7">
      <c r="A19" s="26"/>
      <c r="B19" s="26" t="s">
        <v>318</v>
      </c>
      <c r="C19" s="26" t="s">
        <v>335</v>
      </c>
      <c r="D19" s="26" t="s">
        <v>332</v>
      </c>
      <c r="E19" s="27">
        <v>9600</v>
      </c>
      <c r="F19" s="26" t="s">
        <v>321</v>
      </c>
      <c r="G19" s="26"/>
    </row>
    <row r="20" ht="15.75" spans="1:7">
      <c r="A20" s="30" t="s">
        <v>336</v>
      </c>
      <c r="B20" s="31" t="s">
        <v>318</v>
      </c>
      <c r="C20" s="32" t="s">
        <v>319</v>
      </c>
      <c r="D20" s="33" t="s">
        <v>320</v>
      </c>
      <c r="E20" s="19">
        <v>10100</v>
      </c>
      <c r="F20" s="32" t="s">
        <v>321</v>
      </c>
      <c r="G20" s="30" t="s">
        <v>322</v>
      </c>
    </row>
    <row r="21" ht="15.75" spans="1:7">
      <c r="A21" s="34"/>
      <c r="B21" s="31" t="s">
        <v>318</v>
      </c>
      <c r="C21" s="32" t="s">
        <v>323</v>
      </c>
      <c r="D21" s="33" t="s">
        <v>324</v>
      </c>
      <c r="E21" s="19">
        <v>10700</v>
      </c>
      <c r="F21" s="32" t="s">
        <v>321</v>
      </c>
      <c r="G21" s="34"/>
    </row>
    <row r="22" ht="15.75" spans="1:7">
      <c r="A22" s="34"/>
      <c r="B22" s="31" t="s">
        <v>318</v>
      </c>
      <c r="C22" s="32" t="s">
        <v>325</v>
      </c>
      <c r="D22" s="33" t="s">
        <v>326</v>
      </c>
      <c r="E22" s="19">
        <v>9100</v>
      </c>
      <c r="F22" s="32" t="s">
        <v>321</v>
      </c>
      <c r="G22" s="34"/>
    </row>
    <row r="23" ht="15.75" spans="1:7">
      <c r="A23" s="34"/>
      <c r="B23" s="31" t="s">
        <v>327</v>
      </c>
      <c r="C23" s="32" t="s">
        <v>328</v>
      </c>
      <c r="D23" s="33" t="s">
        <v>329</v>
      </c>
      <c r="E23" s="19">
        <v>10600</v>
      </c>
      <c r="F23" s="32" t="s">
        <v>330</v>
      </c>
      <c r="G23" s="34"/>
    </row>
    <row r="24" ht="14.25" spans="1:7">
      <c r="A24" s="35"/>
      <c r="B24" s="32" t="s">
        <v>318</v>
      </c>
      <c r="C24" s="32" t="s">
        <v>335</v>
      </c>
      <c r="D24" s="33" t="s">
        <v>332</v>
      </c>
      <c r="E24" s="19">
        <v>9600</v>
      </c>
      <c r="F24" s="32" t="s">
        <v>321</v>
      </c>
      <c r="G24" s="35"/>
    </row>
    <row r="25" ht="14.25" spans="1:7">
      <c r="A25" s="26" t="s">
        <v>337</v>
      </c>
      <c r="B25" s="26" t="s">
        <v>318</v>
      </c>
      <c r="C25" s="26" t="s">
        <v>319</v>
      </c>
      <c r="D25" s="26" t="s">
        <v>320</v>
      </c>
      <c r="E25" s="27">
        <v>9800</v>
      </c>
      <c r="F25" s="26" t="s">
        <v>321</v>
      </c>
      <c r="G25" s="26" t="s">
        <v>322</v>
      </c>
    </row>
    <row r="26" ht="14.25" spans="1:7">
      <c r="A26" s="26"/>
      <c r="B26" s="26" t="s">
        <v>318</v>
      </c>
      <c r="C26" s="26" t="s">
        <v>323</v>
      </c>
      <c r="D26" s="26" t="s">
        <v>324</v>
      </c>
      <c r="E26" s="27">
        <v>10400</v>
      </c>
      <c r="F26" s="26" t="s">
        <v>321</v>
      </c>
      <c r="G26" s="26"/>
    </row>
    <row r="27" ht="14.25" spans="1:7">
      <c r="A27" s="26"/>
      <c r="B27" s="26" t="s">
        <v>318</v>
      </c>
      <c r="C27" s="26" t="s">
        <v>325</v>
      </c>
      <c r="D27" s="26" t="s">
        <v>326</v>
      </c>
      <c r="E27" s="27">
        <v>8800</v>
      </c>
      <c r="F27" s="26" t="s">
        <v>321</v>
      </c>
      <c r="G27" s="26"/>
    </row>
    <row r="28" ht="14.25" spans="1:7">
      <c r="A28" s="26"/>
      <c r="B28" s="26" t="s">
        <v>327</v>
      </c>
      <c r="C28" s="26" t="s">
        <v>328</v>
      </c>
      <c r="D28" s="26" t="s">
        <v>329</v>
      </c>
      <c r="E28" s="27">
        <v>10300</v>
      </c>
      <c r="F28" s="26" t="s">
        <v>330</v>
      </c>
      <c r="G28" s="26"/>
    </row>
    <row r="29" ht="14.25" spans="1:7">
      <c r="A29" s="26"/>
      <c r="B29" s="26" t="s">
        <v>318</v>
      </c>
      <c r="C29" s="26" t="s">
        <v>335</v>
      </c>
      <c r="D29" s="26" t="s">
        <v>332</v>
      </c>
      <c r="E29" s="27">
        <v>9300</v>
      </c>
      <c r="F29" s="26" t="s">
        <v>321</v>
      </c>
      <c r="G29" s="26"/>
    </row>
    <row r="30" ht="15.75" spans="1:7">
      <c r="A30" s="30" t="s">
        <v>338</v>
      </c>
      <c r="B30" s="31" t="s">
        <v>318</v>
      </c>
      <c r="C30" s="32" t="s">
        <v>319</v>
      </c>
      <c r="D30" s="33" t="s">
        <v>320</v>
      </c>
      <c r="E30" s="19">
        <v>9550</v>
      </c>
      <c r="F30" s="32" t="s">
        <v>321</v>
      </c>
      <c r="G30" s="30" t="s">
        <v>322</v>
      </c>
    </row>
    <row r="31" ht="15.75" spans="1:7">
      <c r="A31" s="34"/>
      <c r="B31" s="31" t="s">
        <v>318</v>
      </c>
      <c r="C31" s="32" t="s">
        <v>323</v>
      </c>
      <c r="D31" s="33" t="s">
        <v>324</v>
      </c>
      <c r="E31" s="19">
        <v>10200</v>
      </c>
      <c r="F31" s="32" t="s">
        <v>321</v>
      </c>
      <c r="G31" s="34"/>
    </row>
    <row r="32" ht="15.75" spans="1:7">
      <c r="A32" s="34"/>
      <c r="B32" s="31" t="s">
        <v>318</v>
      </c>
      <c r="C32" s="32" t="s">
        <v>325</v>
      </c>
      <c r="D32" s="33" t="s">
        <v>326</v>
      </c>
      <c r="E32" s="19">
        <v>8550</v>
      </c>
      <c r="F32" s="32" t="s">
        <v>321</v>
      </c>
      <c r="G32" s="34"/>
    </row>
    <row r="33" ht="15.75" spans="1:7">
      <c r="A33" s="34"/>
      <c r="B33" s="31" t="s">
        <v>327</v>
      </c>
      <c r="C33" s="32" t="s">
        <v>328</v>
      </c>
      <c r="D33" s="33" t="s">
        <v>329</v>
      </c>
      <c r="E33" s="19">
        <v>10100</v>
      </c>
      <c r="F33" s="32" t="s">
        <v>330</v>
      </c>
      <c r="G33" s="34"/>
    </row>
    <row r="34" ht="14.25" spans="1:7">
      <c r="A34" s="35"/>
      <c r="B34" s="32" t="s">
        <v>318</v>
      </c>
      <c r="C34" s="32" t="s">
        <v>335</v>
      </c>
      <c r="D34" s="33" t="s">
        <v>332</v>
      </c>
      <c r="E34" s="19">
        <v>9050</v>
      </c>
      <c r="F34" s="32" t="s">
        <v>321</v>
      </c>
      <c r="G34" s="35"/>
    </row>
    <row r="35" ht="14.25" spans="1:7">
      <c r="A35" s="26" t="s">
        <v>339</v>
      </c>
      <c r="B35" s="26" t="s">
        <v>318</v>
      </c>
      <c r="C35" s="26" t="s">
        <v>319</v>
      </c>
      <c r="D35" s="26" t="s">
        <v>320</v>
      </c>
      <c r="E35" s="27">
        <v>9950</v>
      </c>
      <c r="F35" s="26" t="s">
        <v>321</v>
      </c>
      <c r="G35" s="26" t="s">
        <v>322</v>
      </c>
    </row>
    <row r="36" ht="14.25" spans="1:7">
      <c r="A36" s="26"/>
      <c r="B36" s="26" t="s">
        <v>318</v>
      </c>
      <c r="C36" s="26" t="s">
        <v>323</v>
      </c>
      <c r="D36" s="26" t="s">
        <v>324</v>
      </c>
      <c r="E36" s="27">
        <v>10550</v>
      </c>
      <c r="F36" s="26" t="s">
        <v>321</v>
      </c>
      <c r="G36" s="26"/>
    </row>
    <row r="37" ht="14.25" spans="1:7">
      <c r="A37" s="26"/>
      <c r="B37" s="26" t="s">
        <v>318</v>
      </c>
      <c r="C37" s="26" t="s">
        <v>325</v>
      </c>
      <c r="D37" s="26" t="s">
        <v>326</v>
      </c>
      <c r="E37" s="27">
        <v>8950</v>
      </c>
      <c r="F37" s="26" t="s">
        <v>321</v>
      </c>
      <c r="G37" s="26"/>
    </row>
    <row r="38" ht="14.25" spans="1:7">
      <c r="A38" s="26"/>
      <c r="B38" s="26" t="s">
        <v>327</v>
      </c>
      <c r="C38" s="26" t="s">
        <v>328</v>
      </c>
      <c r="D38" s="26" t="s">
        <v>329</v>
      </c>
      <c r="E38" s="27">
        <v>10450</v>
      </c>
      <c r="F38" s="26" t="s">
        <v>330</v>
      </c>
      <c r="G38" s="26"/>
    </row>
    <row r="39" ht="14.25" spans="1:7">
      <c r="A39" s="26"/>
      <c r="B39" s="26" t="s">
        <v>318</v>
      </c>
      <c r="C39" s="26" t="s">
        <v>331</v>
      </c>
      <c r="D39" s="26" t="s">
        <v>332</v>
      </c>
      <c r="E39" s="27">
        <v>9450</v>
      </c>
      <c r="F39" s="26" t="s">
        <v>321</v>
      </c>
      <c r="G39" s="26"/>
    </row>
    <row r="40" ht="15.75" spans="1:7">
      <c r="A40" s="30" t="s">
        <v>340</v>
      </c>
      <c r="B40" s="31" t="s">
        <v>318</v>
      </c>
      <c r="C40" s="32" t="s">
        <v>319</v>
      </c>
      <c r="D40" s="33" t="s">
        <v>320</v>
      </c>
      <c r="E40" s="19">
        <v>9800</v>
      </c>
      <c r="F40" s="32" t="s">
        <v>321</v>
      </c>
      <c r="G40" s="30" t="s">
        <v>322</v>
      </c>
    </row>
    <row r="41" ht="15.75" spans="1:7">
      <c r="A41" s="34"/>
      <c r="B41" s="31" t="s">
        <v>318</v>
      </c>
      <c r="C41" s="32" t="s">
        <v>323</v>
      </c>
      <c r="D41" s="33" t="s">
        <v>324</v>
      </c>
      <c r="E41" s="19">
        <v>10400</v>
      </c>
      <c r="F41" s="32" t="s">
        <v>321</v>
      </c>
      <c r="G41" s="34"/>
    </row>
    <row r="42" ht="15.75" spans="1:7">
      <c r="A42" s="34"/>
      <c r="B42" s="31" t="s">
        <v>318</v>
      </c>
      <c r="C42" s="32" t="s">
        <v>325</v>
      </c>
      <c r="D42" s="33" t="s">
        <v>326</v>
      </c>
      <c r="E42" s="19">
        <v>8800</v>
      </c>
      <c r="F42" s="32" t="s">
        <v>321</v>
      </c>
      <c r="G42" s="34"/>
    </row>
    <row r="43" ht="15.75" spans="1:7">
      <c r="A43" s="34"/>
      <c r="B43" s="31" t="s">
        <v>327</v>
      </c>
      <c r="C43" s="32" t="s">
        <v>328</v>
      </c>
      <c r="D43" s="33" t="s">
        <v>329</v>
      </c>
      <c r="E43" s="19">
        <v>10300</v>
      </c>
      <c r="F43" s="32" t="s">
        <v>330</v>
      </c>
      <c r="G43" s="34"/>
    </row>
    <row r="44" ht="14.25" spans="1:7">
      <c r="A44" s="35"/>
      <c r="B44" s="32" t="s">
        <v>318</v>
      </c>
      <c r="C44" s="32" t="s">
        <v>335</v>
      </c>
      <c r="D44" s="33" t="s">
        <v>332</v>
      </c>
      <c r="E44" s="19">
        <v>9300</v>
      </c>
      <c r="F44" s="32" t="s">
        <v>321</v>
      </c>
      <c r="G44" s="35"/>
    </row>
    <row r="45" ht="14.25" spans="1:7">
      <c r="A45" s="26" t="s">
        <v>341</v>
      </c>
      <c r="B45" s="26" t="s">
        <v>318</v>
      </c>
      <c r="C45" s="26" t="s">
        <v>319</v>
      </c>
      <c r="D45" s="26" t="s">
        <v>320</v>
      </c>
      <c r="E45" s="27">
        <v>9700</v>
      </c>
      <c r="F45" s="26" t="s">
        <v>321</v>
      </c>
      <c r="G45" s="36" t="s">
        <v>322</v>
      </c>
    </row>
    <row r="46" ht="14.25" spans="1:7">
      <c r="A46" s="26"/>
      <c r="B46" s="26" t="s">
        <v>318</v>
      </c>
      <c r="C46" s="26" t="s">
        <v>323</v>
      </c>
      <c r="D46" s="26" t="s">
        <v>324</v>
      </c>
      <c r="E46" s="27">
        <v>10300</v>
      </c>
      <c r="F46" s="26" t="s">
        <v>321</v>
      </c>
      <c r="G46" s="37"/>
    </row>
    <row r="47" ht="14.25" spans="1:7">
      <c r="A47" s="26"/>
      <c r="B47" s="26" t="s">
        <v>318</v>
      </c>
      <c r="C47" s="26" t="s">
        <v>325</v>
      </c>
      <c r="D47" s="26" t="s">
        <v>326</v>
      </c>
      <c r="E47" s="27">
        <v>8700</v>
      </c>
      <c r="F47" s="26" t="s">
        <v>321</v>
      </c>
      <c r="G47" s="37"/>
    </row>
    <row r="48" ht="14.25" spans="1:7">
      <c r="A48" s="26"/>
      <c r="B48" s="26" t="s">
        <v>327</v>
      </c>
      <c r="C48" s="26" t="s">
        <v>328</v>
      </c>
      <c r="D48" s="26" t="s">
        <v>329</v>
      </c>
      <c r="E48" s="27">
        <v>10200</v>
      </c>
      <c r="F48" s="26" t="s">
        <v>330</v>
      </c>
      <c r="G48" s="37"/>
    </row>
    <row r="49" ht="14.25" spans="1:7">
      <c r="A49" s="36"/>
      <c r="B49" s="36" t="s">
        <v>318</v>
      </c>
      <c r="C49" s="36" t="s">
        <v>335</v>
      </c>
      <c r="D49" s="36" t="s">
        <v>332</v>
      </c>
      <c r="E49" s="27">
        <v>9200</v>
      </c>
      <c r="F49" s="26" t="s">
        <v>321</v>
      </c>
      <c r="G49" s="37"/>
    </row>
    <row r="50" ht="14.25" spans="1:7">
      <c r="A50" s="19"/>
      <c r="B50" s="19"/>
      <c r="C50" s="38"/>
      <c r="D50" s="39"/>
      <c r="E50" s="19"/>
      <c r="F50" s="19"/>
      <c r="G50" s="19"/>
    </row>
    <row r="53" ht="20.25" spans="1:7">
      <c r="A53" s="40" t="s">
        <v>310</v>
      </c>
      <c r="B53" s="40"/>
      <c r="C53" s="40"/>
      <c r="D53" s="41"/>
      <c r="E53" s="40"/>
      <c r="F53" s="40"/>
      <c r="G53" s="42"/>
    </row>
    <row r="54" ht="20.25" spans="1:7">
      <c r="A54" s="40" t="s">
        <v>311</v>
      </c>
      <c r="B54" s="43"/>
      <c r="C54" s="43"/>
      <c r="D54" s="44"/>
      <c r="E54" s="43"/>
      <c r="F54" s="43"/>
      <c r="G54" s="45"/>
    </row>
    <row r="55" ht="20.25" spans="1:7">
      <c r="A55" s="40" t="s">
        <v>312</v>
      </c>
      <c r="B55" s="43"/>
      <c r="C55" s="43"/>
      <c r="D55" s="44"/>
      <c r="E55" s="43"/>
      <c r="F55" s="43"/>
      <c r="G55" s="45"/>
    </row>
    <row r="56" ht="63" spans="1:7">
      <c r="A56" s="19"/>
      <c r="B56" s="20" t="s">
        <v>313</v>
      </c>
      <c r="C56" s="21"/>
      <c r="D56" s="22"/>
      <c r="E56" s="21" t="s">
        <v>342</v>
      </c>
      <c r="F56" s="23" t="s">
        <v>315</v>
      </c>
      <c r="G56" s="23" t="s">
        <v>316</v>
      </c>
    </row>
    <row r="57" ht="14.25" spans="1:7">
      <c r="A57" s="46" t="s">
        <v>343</v>
      </c>
      <c r="B57" s="46" t="s">
        <v>318</v>
      </c>
      <c r="C57" s="46" t="s">
        <v>319</v>
      </c>
      <c r="D57" s="46" t="s">
        <v>320</v>
      </c>
      <c r="E57" s="27">
        <v>11800</v>
      </c>
      <c r="F57" s="26" t="s">
        <v>321</v>
      </c>
      <c r="G57" s="46" t="s">
        <v>344</v>
      </c>
    </row>
    <row r="58" ht="14.25" spans="1:7">
      <c r="A58" s="47"/>
      <c r="B58" s="46" t="s">
        <v>318</v>
      </c>
      <c r="C58" s="46" t="s">
        <v>323</v>
      </c>
      <c r="D58" s="46" t="s">
        <v>324</v>
      </c>
      <c r="E58" s="27">
        <v>12500</v>
      </c>
      <c r="F58" s="26" t="s">
        <v>330</v>
      </c>
      <c r="G58" s="47"/>
    </row>
    <row r="59" ht="14.25" spans="1:7">
      <c r="A59" s="47"/>
      <c r="B59" s="46" t="s">
        <v>327</v>
      </c>
      <c r="C59" s="46" t="s">
        <v>328</v>
      </c>
      <c r="D59" s="46" t="s">
        <v>329</v>
      </c>
      <c r="E59" s="27">
        <v>12600</v>
      </c>
      <c r="F59" s="26" t="s">
        <v>330</v>
      </c>
      <c r="G59" s="47"/>
    </row>
    <row r="60" ht="14.25" spans="1:7">
      <c r="A60" s="47"/>
      <c r="B60" s="46" t="s">
        <v>318</v>
      </c>
      <c r="C60" s="46" t="s">
        <v>331</v>
      </c>
      <c r="D60" s="46" t="s">
        <v>332</v>
      </c>
      <c r="E60" s="27">
        <v>10800</v>
      </c>
      <c r="F60" s="26" t="s">
        <v>321</v>
      </c>
      <c r="G60" s="47"/>
    </row>
    <row r="61" ht="15.75" spans="1:7">
      <c r="A61" s="48" t="s">
        <v>333</v>
      </c>
      <c r="B61" s="49" t="s">
        <v>318</v>
      </c>
      <c r="C61" s="19" t="s">
        <v>319</v>
      </c>
      <c r="D61" s="39" t="s">
        <v>320</v>
      </c>
      <c r="E61" s="19">
        <v>11500</v>
      </c>
      <c r="F61" s="50" t="s">
        <v>321</v>
      </c>
      <c r="G61" s="30" t="s">
        <v>344</v>
      </c>
    </row>
    <row r="62" ht="15.75" spans="1:7">
      <c r="A62" s="51"/>
      <c r="B62" s="49" t="s">
        <v>318</v>
      </c>
      <c r="C62" s="19" t="s">
        <v>323</v>
      </c>
      <c r="D62" s="39" t="s">
        <v>324</v>
      </c>
      <c r="E62" s="19">
        <v>12200</v>
      </c>
      <c r="F62" s="50" t="s">
        <v>330</v>
      </c>
      <c r="G62" s="34"/>
    </row>
    <row r="63" ht="15.75" spans="1:7">
      <c r="A63" s="51"/>
      <c r="B63" s="49" t="s">
        <v>327</v>
      </c>
      <c r="C63" s="19" t="s">
        <v>328</v>
      </c>
      <c r="D63" s="39" t="s">
        <v>329</v>
      </c>
      <c r="E63" s="19">
        <v>12300</v>
      </c>
      <c r="F63" s="50" t="s">
        <v>330</v>
      </c>
      <c r="G63" s="34"/>
    </row>
    <row r="64" ht="14.25" spans="1:7">
      <c r="A64" s="52"/>
      <c r="B64" s="32" t="s">
        <v>318</v>
      </c>
      <c r="C64" s="53" t="s">
        <v>331</v>
      </c>
      <c r="D64" s="53" t="s">
        <v>332</v>
      </c>
      <c r="E64" s="19">
        <v>10500</v>
      </c>
      <c r="F64" s="50" t="s">
        <v>321</v>
      </c>
      <c r="G64" s="35"/>
    </row>
    <row r="65" ht="14.25" spans="1:7">
      <c r="A65" s="36" t="s">
        <v>334</v>
      </c>
      <c r="B65" s="26" t="s">
        <v>318</v>
      </c>
      <c r="C65" s="26" t="s">
        <v>319</v>
      </c>
      <c r="D65" s="54" t="s">
        <v>320</v>
      </c>
      <c r="E65" s="27">
        <v>11200</v>
      </c>
      <c r="F65" s="28" t="s">
        <v>321</v>
      </c>
      <c r="G65" s="36" t="s">
        <v>344</v>
      </c>
    </row>
    <row r="66" ht="14.25" spans="1:7">
      <c r="A66" s="37"/>
      <c r="B66" s="26" t="s">
        <v>318</v>
      </c>
      <c r="C66" s="26" t="s">
        <v>323</v>
      </c>
      <c r="D66" s="54" t="s">
        <v>324</v>
      </c>
      <c r="E66" s="27">
        <v>11900</v>
      </c>
      <c r="F66" s="28" t="s">
        <v>330</v>
      </c>
      <c r="G66" s="37"/>
    </row>
    <row r="67" ht="14.25" spans="1:7">
      <c r="A67" s="37"/>
      <c r="B67" s="26" t="s">
        <v>327</v>
      </c>
      <c r="C67" s="26" t="s">
        <v>328</v>
      </c>
      <c r="D67" s="54" t="s">
        <v>329</v>
      </c>
      <c r="E67" s="27">
        <v>12000</v>
      </c>
      <c r="F67" s="28" t="s">
        <v>330</v>
      </c>
      <c r="G67" s="37"/>
    </row>
    <row r="68" ht="14.25" spans="1:7">
      <c r="A68" s="55"/>
      <c r="B68" s="26" t="s">
        <v>318</v>
      </c>
      <c r="C68" s="46" t="s">
        <v>331</v>
      </c>
      <c r="D68" s="46" t="s">
        <v>332</v>
      </c>
      <c r="E68" s="27">
        <v>10200</v>
      </c>
      <c r="F68" s="28" t="s">
        <v>321</v>
      </c>
      <c r="G68" s="55"/>
    </row>
    <row r="69" ht="15.75" spans="1:7">
      <c r="A69" s="48" t="s">
        <v>336</v>
      </c>
      <c r="B69" s="49" t="s">
        <v>318</v>
      </c>
      <c r="C69" s="19" t="s">
        <v>319</v>
      </c>
      <c r="D69" s="39" t="s">
        <v>320</v>
      </c>
      <c r="E69" s="19">
        <v>11200</v>
      </c>
      <c r="F69" s="50" t="s">
        <v>330</v>
      </c>
      <c r="G69" s="30" t="s">
        <v>344</v>
      </c>
    </row>
    <row r="70" ht="15.75" spans="1:7">
      <c r="A70" s="51"/>
      <c r="B70" s="49" t="s">
        <v>318</v>
      </c>
      <c r="C70" s="19" t="s">
        <v>323</v>
      </c>
      <c r="D70" s="39" t="s">
        <v>324</v>
      </c>
      <c r="E70" s="19">
        <v>11900</v>
      </c>
      <c r="F70" s="50" t="s">
        <v>330</v>
      </c>
      <c r="G70" s="34"/>
    </row>
    <row r="71" ht="15.75" spans="1:7">
      <c r="A71" s="51"/>
      <c r="B71" s="49" t="s">
        <v>327</v>
      </c>
      <c r="C71" s="19" t="s">
        <v>328</v>
      </c>
      <c r="D71" s="39" t="s">
        <v>329</v>
      </c>
      <c r="E71" s="19">
        <v>12000</v>
      </c>
      <c r="F71" s="50" t="s">
        <v>321</v>
      </c>
      <c r="G71" s="34"/>
    </row>
    <row r="72" ht="14.25" spans="1:7">
      <c r="A72" s="52"/>
      <c r="B72" s="32" t="s">
        <v>318</v>
      </c>
      <c r="C72" s="53" t="s">
        <v>331</v>
      </c>
      <c r="D72" s="53" t="s">
        <v>332</v>
      </c>
      <c r="E72" s="19">
        <v>10200</v>
      </c>
      <c r="F72" s="50" t="s">
        <v>321</v>
      </c>
      <c r="G72" s="35"/>
    </row>
    <row r="73" ht="14.25" spans="1:7">
      <c r="A73" s="36" t="s">
        <v>337</v>
      </c>
      <c r="B73" s="26" t="s">
        <v>318</v>
      </c>
      <c r="C73" s="26" t="s">
        <v>319</v>
      </c>
      <c r="D73" s="54" t="s">
        <v>320</v>
      </c>
      <c r="E73" s="27">
        <v>10950</v>
      </c>
      <c r="F73" s="28" t="s">
        <v>330</v>
      </c>
      <c r="G73" s="36" t="s">
        <v>344</v>
      </c>
    </row>
    <row r="74" ht="14.25" spans="1:7">
      <c r="A74" s="37"/>
      <c r="B74" s="26" t="s">
        <v>318</v>
      </c>
      <c r="C74" s="26" t="s">
        <v>323</v>
      </c>
      <c r="D74" s="54" t="s">
        <v>324</v>
      </c>
      <c r="E74" s="27">
        <v>11650</v>
      </c>
      <c r="F74" s="28" t="s">
        <v>330</v>
      </c>
      <c r="G74" s="37"/>
    </row>
    <row r="75" ht="14.25" spans="1:7">
      <c r="A75" s="37"/>
      <c r="B75" s="26" t="s">
        <v>327</v>
      </c>
      <c r="C75" s="26" t="s">
        <v>328</v>
      </c>
      <c r="D75" s="54" t="s">
        <v>329</v>
      </c>
      <c r="E75" s="27">
        <v>11750</v>
      </c>
      <c r="F75" s="28" t="s">
        <v>321</v>
      </c>
      <c r="G75" s="37"/>
    </row>
    <row r="76" ht="14.25" spans="1:7">
      <c r="A76" s="55"/>
      <c r="B76" s="26" t="s">
        <v>318</v>
      </c>
      <c r="C76" s="46" t="s">
        <v>331</v>
      </c>
      <c r="D76" s="46" t="s">
        <v>332</v>
      </c>
      <c r="E76" s="27">
        <v>9950</v>
      </c>
      <c r="F76" s="28" t="s">
        <v>321</v>
      </c>
      <c r="G76" s="55"/>
    </row>
    <row r="77" ht="15.75" spans="1:7">
      <c r="A77" s="48" t="s">
        <v>338</v>
      </c>
      <c r="B77" s="49" t="s">
        <v>318</v>
      </c>
      <c r="C77" s="19" t="s">
        <v>319</v>
      </c>
      <c r="D77" s="39" t="s">
        <v>320</v>
      </c>
      <c r="E77" s="19">
        <v>10700</v>
      </c>
      <c r="F77" s="50" t="s">
        <v>330</v>
      </c>
      <c r="G77" s="30" t="s">
        <v>344</v>
      </c>
    </row>
    <row r="78" ht="15.75" spans="1:7">
      <c r="A78" s="51"/>
      <c r="B78" s="49" t="s">
        <v>318</v>
      </c>
      <c r="C78" s="19" t="s">
        <v>323</v>
      </c>
      <c r="D78" s="39" t="s">
        <v>324</v>
      </c>
      <c r="E78" s="19">
        <v>11350</v>
      </c>
      <c r="F78" s="50" t="s">
        <v>330</v>
      </c>
      <c r="G78" s="34"/>
    </row>
    <row r="79" ht="15.75" spans="1:7">
      <c r="A79" s="51"/>
      <c r="B79" s="49" t="s">
        <v>327</v>
      </c>
      <c r="C79" s="19" t="s">
        <v>328</v>
      </c>
      <c r="D79" s="39" t="s">
        <v>329</v>
      </c>
      <c r="E79" s="19">
        <v>11450</v>
      </c>
      <c r="F79" s="50" t="s">
        <v>321</v>
      </c>
      <c r="G79" s="34"/>
    </row>
    <row r="80" ht="14.25" spans="1:7">
      <c r="A80" s="52"/>
      <c r="B80" s="32" t="s">
        <v>318</v>
      </c>
      <c r="C80" s="53" t="s">
        <v>331</v>
      </c>
      <c r="D80" s="53" t="s">
        <v>332</v>
      </c>
      <c r="E80" s="19">
        <v>9700</v>
      </c>
      <c r="F80" s="50" t="s">
        <v>330</v>
      </c>
      <c r="G80" s="35"/>
    </row>
    <row r="81" ht="14.25" spans="1:7">
      <c r="A81" s="36" t="s">
        <v>339</v>
      </c>
      <c r="B81" s="26" t="s">
        <v>318</v>
      </c>
      <c r="C81" s="26" t="s">
        <v>319</v>
      </c>
      <c r="D81" s="54" t="s">
        <v>320</v>
      </c>
      <c r="E81" s="27">
        <v>10400</v>
      </c>
      <c r="F81" s="28" t="s">
        <v>330</v>
      </c>
      <c r="G81" s="36" t="s">
        <v>344</v>
      </c>
    </row>
    <row r="82" ht="14.25" spans="1:7">
      <c r="A82" s="37"/>
      <c r="B82" s="26" t="s">
        <v>318</v>
      </c>
      <c r="C82" s="26" t="s">
        <v>323</v>
      </c>
      <c r="D82" s="54" t="s">
        <v>324</v>
      </c>
      <c r="E82" s="27">
        <v>11100</v>
      </c>
      <c r="F82" s="28" t="s">
        <v>321</v>
      </c>
      <c r="G82" s="37"/>
    </row>
    <row r="83" ht="14.25" spans="1:7">
      <c r="A83" s="37"/>
      <c r="B83" s="26" t="s">
        <v>327</v>
      </c>
      <c r="C83" s="26" t="s">
        <v>328</v>
      </c>
      <c r="D83" s="54" t="s">
        <v>329</v>
      </c>
      <c r="E83" s="27">
        <v>11200</v>
      </c>
      <c r="F83" s="28" t="s">
        <v>321</v>
      </c>
      <c r="G83" s="37"/>
    </row>
    <row r="84" ht="14.25" spans="1:7">
      <c r="A84" s="37"/>
      <c r="B84" s="26" t="s">
        <v>318</v>
      </c>
      <c r="C84" s="46" t="s">
        <v>331</v>
      </c>
      <c r="D84" s="46" t="s">
        <v>332</v>
      </c>
      <c r="E84" s="27">
        <v>9400</v>
      </c>
      <c r="F84" s="28" t="s">
        <v>330</v>
      </c>
      <c r="G84" s="55"/>
    </row>
    <row r="85" ht="14.25" spans="1:7">
      <c r="A85" s="30" t="s">
        <v>341</v>
      </c>
      <c r="B85" s="32" t="s">
        <v>318</v>
      </c>
      <c r="C85" s="32" t="s">
        <v>319</v>
      </c>
      <c r="D85" s="33" t="s">
        <v>320</v>
      </c>
      <c r="E85" s="19">
        <v>11500</v>
      </c>
      <c r="F85" s="50" t="s">
        <v>330</v>
      </c>
      <c r="G85" s="30" t="s">
        <v>344</v>
      </c>
    </row>
    <row r="86" ht="14.25" spans="1:7">
      <c r="A86" s="34"/>
      <c r="B86" s="32" t="s">
        <v>318</v>
      </c>
      <c r="C86" s="32" t="s">
        <v>323</v>
      </c>
      <c r="D86" s="33" t="s">
        <v>324</v>
      </c>
      <c r="E86" s="19">
        <v>12200</v>
      </c>
      <c r="F86" s="50" t="s">
        <v>321</v>
      </c>
      <c r="G86" s="34"/>
    </row>
    <row r="87" ht="14.25" spans="1:7">
      <c r="A87" s="34"/>
      <c r="B87" s="32" t="s">
        <v>327</v>
      </c>
      <c r="C87" s="32" t="s">
        <v>328</v>
      </c>
      <c r="D87" s="33" t="s">
        <v>329</v>
      </c>
      <c r="E87" s="19">
        <v>12300</v>
      </c>
      <c r="F87" s="50" t="s">
        <v>321</v>
      </c>
      <c r="G87" s="34"/>
    </row>
    <row r="88" ht="14.25" spans="1:7">
      <c r="A88" s="35"/>
      <c r="B88" s="32" t="s">
        <v>318</v>
      </c>
      <c r="C88" s="53" t="s">
        <v>331</v>
      </c>
      <c r="D88" s="53" t="s">
        <v>332</v>
      </c>
      <c r="E88" s="19">
        <v>10500</v>
      </c>
      <c r="F88" s="50" t="s">
        <v>330</v>
      </c>
      <c r="G88" s="35"/>
    </row>
    <row r="89" ht="14.25" spans="1:7">
      <c r="A89" s="56"/>
      <c r="B89" s="56"/>
      <c r="C89" s="57"/>
      <c r="D89" s="56"/>
      <c r="E89" s="56"/>
      <c r="F89" s="58"/>
      <c r="G89" s="59"/>
    </row>
  </sheetData>
  <mergeCells count="42">
    <mergeCell ref="A1:G1"/>
    <mergeCell ref="A2:G2"/>
    <mergeCell ref="A3:G3"/>
    <mergeCell ref="B4:D4"/>
    <mergeCell ref="A53:G53"/>
    <mergeCell ref="A54:G54"/>
    <mergeCell ref="A55:G55"/>
    <mergeCell ref="B56:D56"/>
    <mergeCell ref="A5:A9"/>
    <mergeCell ref="A10:A14"/>
    <mergeCell ref="A15:A19"/>
    <mergeCell ref="A20:A24"/>
    <mergeCell ref="A25:A29"/>
    <mergeCell ref="A30:A34"/>
    <mergeCell ref="A35:A39"/>
    <mergeCell ref="A40:A44"/>
    <mergeCell ref="A45:A49"/>
    <mergeCell ref="A57:A60"/>
    <mergeCell ref="A61:A64"/>
    <mergeCell ref="A65:A68"/>
    <mergeCell ref="A69:A72"/>
    <mergeCell ref="A73:A76"/>
    <mergeCell ref="A77:A80"/>
    <mergeCell ref="A81:A84"/>
    <mergeCell ref="A85:A88"/>
    <mergeCell ref="G5:G9"/>
    <mergeCell ref="G10:G14"/>
    <mergeCell ref="G15:G19"/>
    <mergeCell ref="G20:G24"/>
    <mergeCell ref="G25:G29"/>
    <mergeCell ref="G30:G34"/>
    <mergeCell ref="G35:G39"/>
    <mergeCell ref="G40:G44"/>
    <mergeCell ref="G45:G49"/>
    <mergeCell ref="G57:G60"/>
    <mergeCell ref="G61:G64"/>
    <mergeCell ref="G65:G68"/>
    <mergeCell ref="G69:G72"/>
    <mergeCell ref="G73:G76"/>
    <mergeCell ref="G77:G80"/>
    <mergeCell ref="G81:G84"/>
    <mergeCell ref="G85:G88"/>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workbookViewId="0">
      <selection activeCell="R8" sqref="R8"/>
    </sheetView>
  </sheetViews>
  <sheetFormatPr defaultColWidth="9" defaultRowHeight="13.5"/>
  <cols>
    <col min="7" max="8" width="19.125" customWidth="1"/>
    <col min="9" max="9" width="16.75" customWidth="1"/>
    <col min="10" max="10" width="14.375" customWidth="1"/>
  </cols>
  <sheetData>
    <row r="1" ht="60.75" spans="1:10">
      <c r="A1" s="1" t="s">
        <v>1</v>
      </c>
      <c r="B1" s="2"/>
      <c r="C1" s="2"/>
      <c r="D1" s="2"/>
      <c r="E1" s="2"/>
      <c r="F1" s="3"/>
      <c r="G1" s="4" t="s">
        <v>345</v>
      </c>
      <c r="H1" s="4" t="s">
        <v>346</v>
      </c>
      <c r="I1" s="4" t="s">
        <v>347</v>
      </c>
      <c r="J1" s="14" t="s">
        <v>348</v>
      </c>
    </row>
    <row r="2" ht="18.75" spans="1:10">
      <c r="A2" s="5" t="s">
        <v>349</v>
      </c>
      <c r="B2" s="6"/>
      <c r="C2" s="6"/>
      <c r="D2" s="6"/>
      <c r="E2" s="6"/>
      <c r="F2" s="7"/>
      <c r="G2" s="8">
        <v>7300</v>
      </c>
      <c r="H2" s="8">
        <v>7850</v>
      </c>
      <c r="I2" s="8">
        <v>8250</v>
      </c>
      <c r="J2" s="8">
        <v>36</v>
      </c>
    </row>
    <row r="3" ht="18.75" spans="1:10">
      <c r="A3" s="5" t="s">
        <v>350</v>
      </c>
      <c r="B3" s="6"/>
      <c r="C3" s="6"/>
      <c r="D3" s="6"/>
      <c r="E3" s="6"/>
      <c r="F3" s="7"/>
      <c r="G3" s="8">
        <v>7800</v>
      </c>
      <c r="H3" s="8">
        <v>8350</v>
      </c>
      <c r="I3" s="8">
        <v>8750</v>
      </c>
      <c r="J3" s="8">
        <v>36</v>
      </c>
    </row>
    <row r="4" ht="18.75" spans="1:10">
      <c r="A4" s="5" t="s">
        <v>351</v>
      </c>
      <c r="B4" s="6"/>
      <c r="C4" s="6"/>
      <c r="D4" s="6"/>
      <c r="E4" s="6"/>
      <c r="F4" s="7"/>
      <c r="G4" s="8">
        <v>6810</v>
      </c>
      <c r="H4" s="8">
        <v>7360</v>
      </c>
      <c r="I4" s="8">
        <v>7760</v>
      </c>
      <c r="J4" s="8">
        <v>40</v>
      </c>
    </row>
    <row r="5" ht="18.75" spans="1:10">
      <c r="A5" s="5" t="s">
        <v>352</v>
      </c>
      <c r="B5" s="6"/>
      <c r="C5" s="6"/>
      <c r="D5" s="6"/>
      <c r="E5" s="6"/>
      <c r="F5" s="7"/>
      <c r="G5" s="8">
        <v>6900</v>
      </c>
      <c r="H5" s="8">
        <v>7410</v>
      </c>
      <c r="I5" s="8">
        <v>7810</v>
      </c>
      <c r="J5" s="8">
        <v>40</v>
      </c>
    </row>
    <row r="6" ht="18.75" spans="1:10">
      <c r="A6" s="5" t="s">
        <v>353</v>
      </c>
      <c r="B6" s="6"/>
      <c r="C6" s="6"/>
      <c r="D6" s="6"/>
      <c r="E6" s="6"/>
      <c r="F6" s="7"/>
      <c r="G6" s="8">
        <v>7100</v>
      </c>
      <c r="H6" s="8">
        <v>7610</v>
      </c>
      <c r="I6" s="8">
        <v>8010</v>
      </c>
      <c r="J6" s="8">
        <v>42</v>
      </c>
    </row>
    <row r="7" ht="18.75" spans="1:10">
      <c r="A7" s="5" t="s">
        <v>354</v>
      </c>
      <c r="B7" s="6"/>
      <c r="C7" s="6"/>
      <c r="D7" s="6"/>
      <c r="E7" s="6"/>
      <c r="F7" s="7"/>
      <c r="G7" s="8">
        <v>6960</v>
      </c>
      <c r="H7" s="8">
        <v>7510</v>
      </c>
      <c r="I7" s="8">
        <v>7910</v>
      </c>
      <c r="J7" s="8">
        <v>40</v>
      </c>
    </row>
    <row r="8" ht="18.75" spans="1:10">
      <c r="A8" s="5" t="s">
        <v>355</v>
      </c>
      <c r="B8" s="6"/>
      <c r="C8" s="6"/>
      <c r="D8" s="6"/>
      <c r="E8" s="6"/>
      <c r="F8" s="7"/>
      <c r="G8" s="8">
        <v>6860</v>
      </c>
      <c r="H8" s="8">
        <v>7410</v>
      </c>
      <c r="I8" s="8">
        <v>7810</v>
      </c>
      <c r="J8" s="8">
        <v>38</v>
      </c>
    </row>
    <row r="9" ht="18.75" spans="1:10">
      <c r="A9" s="5" t="s">
        <v>356</v>
      </c>
      <c r="B9" s="6"/>
      <c r="C9" s="6"/>
      <c r="D9" s="6"/>
      <c r="E9" s="6"/>
      <c r="F9" s="7"/>
      <c r="G9" s="8">
        <v>6960</v>
      </c>
      <c r="H9" s="8">
        <v>7510</v>
      </c>
      <c r="I9" s="8">
        <v>7910</v>
      </c>
      <c r="J9" s="8">
        <v>40</v>
      </c>
    </row>
    <row r="10" ht="18.75" spans="1:10">
      <c r="A10" s="5" t="s">
        <v>357</v>
      </c>
      <c r="B10" s="6"/>
      <c r="C10" s="6"/>
      <c r="D10" s="6"/>
      <c r="E10" s="6"/>
      <c r="F10" s="7"/>
      <c r="G10" s="8">
        <v>7000</v>
      </c>
      <c r="H10" s="8">
        <v>7510</v>
      </c>
      <c r="I10" s="8">
        <v>7910</v>
      </c>
      <c r="J10" s="8">
        <v>36</v>
      </c>
    </row>
    <row r="11" ht="18.75" spans="1:10">
      <c r="A11" s="9" t="s">
        <v>358</v>
      </c>
      <c r="B11" s="10"/>
      <c r="C11" s="10"/>
      <c r="D11" s="10"/>
      <c r="E11" s="10"/>
      <c r="F11" s="11"/>
      <c r="G11" s="8">
        <v>7200</v>
      </c>
      <c r="H11" s="8">
        <v>7710</v>
      </c>
      <c r="I11" s="8">
        <v>8110</v>
      </c>
      <c r="J11" s="8">
        <v>45</v>
      </c>
    </row>
    <row r="12" ht="18.75" spans="1:10">
      <c r="A12" s="9" t="s">
        <v>359</v>
      </c>
      <c r="B12" s="10"/>
      <c r="C12" s="10"/>
      <c r="D12" s="10"/>
      <c r="E12" s="10"/>
      <c r="F12" s="11"/>
      <c r="G12" s="8">
        <v>7300</v>
      </c>
      <c r="H12" s="8">
        <v>7810</v>
      </c>
      <c r="I12" s="8">
        <v>8210</v>
      </c>
      <c r="J12" s="8">
        <v>34</v>
      </c>
    </row>
    <row r="13" ht="18.75" spans="1:10">
      <c r="A13" s="9" t="s">
        <v>360</v>
      </c>
      <c r="B13" s="10"/>
      <c r="C13" s="10"/>
      <c r="D13" s="10"/>
      <c r="E13" s="10"/>
      <c r="F13" s="11"/>
      <c r="G13" s="8">
        <v>7300</v>
      </c>
      <c r="H13" s="8">
        <v>7810</v>
      </c>
      <c r="I13" s="8">
        <v>8210</v>
      </c>
      <c r="J13" s="8">
        <v>40</v>
      </c>
    </row>
    <row r="14" ht="18.75" spans="1:10">
      <c r="A14" s="9" t="s">
        <v>361</v>
      </c>
      <c r="B14" s="10"/>
      <c r="C14" s="10"/>
      <c r="D14" s="10"/>
      <c r="E14" s="10"/>
      <c r="F14" s="11"/>
      <c r="G14" s="8">
        <v>7300</v>
      </c>
      <c r="H14" s="8">
        <v>7810</v>
      </c>
      <c r="I14" s="8">
        <v>8210</v>
      </c>
      <c r="J14" s="8">
        <v>45</v>
      </c>
    </row>
    <row r="15" ht="18.75" spans="1:10">
      <c r="A15" s="9" t="s">
        <v>362</v>
      </c>
      <c r="B15" s="10"/>
      <c r="C15" s="10"/>
      <c r="D15" s="10"/>
      <c r="E15" s="10"/>
      <c r="F15" s="11"/>
      <c r="G15" s="8">
        <v>7260</v>
      </c>
      <c r="H15" s="8">
        <v>7810</v>
      </c>
      <c r="I15" s="8">
        <v>8210</v>
      </c>
      <c r="J15" s="8">
        <v>45</v>
      </c>
    </row>
    <row r="16" ht="18.75" spans="1:10">
      <c r="A16" s="5" t="s">
        <v>363</v>
      </c>
      <c r="B16" s="6"/>
      <c r="C16" s="6"/>
      <c r="D16" s="6"/>
      <c r="E16" s="6"/>
      <c r="F16" s="7"/>
      <c r="G16" s="8">
        <v>7260</v>
      </c>
      <c r="H16" s="8">
        <v>7810</v>
      </c>
      <c r="I16" s="8">
        <v>8210</v>
      </c>
      <c r="J16" s="8">
        <v>42</v>
      </c>
    </row>
    <row r="17" ht="18.75" spans="1:10">
      <c r="A17" s="5" t="s">
        <v>364</v>
      </c>
      <c r="B17" s="6"/>
      <c r="C17" s="6"/>
      <c r="D17" s="6"/>
      <c r="E17" s="6"/>
      <c r="F17" s="7"/>
      <c r="G17" s="8">
        <v>6900</v>
      </c>
      <c r="H17" s="8">
        <v>7410</v>
      </c>
      <c r="I17" s="8">
        <v>7810</v>
      </c>
      <c r="J17" s="8">
        <v>34</v>
      </c>
    </row>
    <row r="18" ht="18.75" spans="1:10">
      <c r="A18" s="5" t="s">
        <v>365</v>
      </c>
      <c r="B18" s="6"/>
      <c r="C18" s="6"/>
      <c r="D18" s="6"/>
      <c r="E18" s="6"/>
      <c r="F18" s="7"/>
      <c r="G18" s="8">
        <v>7100</v>
      </c>
      <c r="H18" s="8">
        <v>7610</v>
      </c>
      <c r="I18" s="8">
        <v>8010</v>
      </c>
      <c r="J18" s="8">
        <v>42</v>
      </c>
    </row>
    <row r="19" ht="14.25" spans="1:10">
      <c r="A19" s="12"/>
      <c r="B19" s="12"/>
      <c r="C19" s="12"/>
      <c r="D19" s="12"/>
      <c r="E19" s="12"/>
      <c r="F19" s="12"/>
      <c r="G19" s="12"/>
      <c r="H19" s="12"/>
      <c r="I19" s="12"/>
      <c r="J19" s="12"/>
    </row>
    <row r="20" ht="14.25" spans="1:10">
      <c r="A20" s="13" t="s">
        <v>366</v>
      </c>
      <c r="B20" s="12"/>
      <c r="C20" s="12"/>
      <c r="D20" s="12"/>
      <c r="E20" s="12"/>
      <c r="F20" s="12"/>
      <c r="G20" s="12"/>
      <c r="H20" s="12"/>
      <c r="I20" s="12"/>
      <c r="J20" s="12"/>
    </row>
  </sheetData>
  <mergeCells count="18">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Sea (FOB)</vt:lpstr>
      <vt:lpstr>Rail (EXW)</vt:lpstr>
      <vt:lpstr>Truck</vt:lpstr>
      <vt:lpstr>Southeast Asia - Russia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WPS_1684497909</cp:lastModifiedBy>
  <dcterms:created xsi:type="dcterms:W3CDTF">2025-02-17T07:26:00Z</dcterms:created>
  <dcterms:modified xsi:type="dcterms:W3CDTF">2025-05-20T10:01:14Z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676BB623CB1E413A8A536076FEC8937A_11</vt:lpwstr>
  </property>
  <property fmtid="{D5CDD505-2E9C-101B-9397-08002B2CF9AE}" pid="3" name="KSOProductBuildVer">
    <vt:lpwstr>2052-12.1.0.21171</vt:lpwstr>
  </property>
</Properties>
</file>