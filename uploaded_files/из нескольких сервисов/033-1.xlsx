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worksheets/sheet9.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DISCLAIMER" sheetId="1" r:id="rId3"/>
    <sheet name="CNDLC-CNTXG" sheetId="2" r:id="rId4"/>
    <sheet name="CNTAO-CNRZH" sheetId="3" r:id="rId5"/>
    <sheet name="CNSHA-CNTCG" sheetId="4" r:id="rId6"/>
    <sheet name="CNNGB" sheetId="5" r:id="rId7"/>
    <sheet name="CNXMN" sheetId="6" r:id="rId8"/>
    <sheet name="CNNSA-CNYTN-CNSHE" sheetId="7" r:id="rId9"/>
    <sheet name="KRBUS" sheetId="8" r:id="rId10"/>
    <sheet name="LCL - LTL" sheetId="9" r:id="rId11"/>
    <sheet name="RAIL" sheetId="10" r:id="rId12"/>
    <sheet name="FTL" sheetId="11" r:id="rId13"/>
  </sheets>
  <calcPr fullCalcOnLoad="true"/>
</workbook>
</file>

<file path=xl/sharedStrings.xml><?xml version="1.0" encoding="utf-8"?>
<sst xmlns="http://schemas.openxmlformats.org/spreadsheetml/2006/main" count="383" uniqueCount="383">
  <si>
    <t/>
  </si>
  <si>
    <t>POL</t>
  </si>
  <si>
    <t>POD</t>
  </si>
  <si>
    <t>Carrier</t>
  </si>
  <si>
    <t>VIA</t>
  </si>
  <si>
    <t>SOC</t>
  </si>
  <si>
    <t>Drop at POD</t>
  </si>
  <si>
    <t>Drop off Moscow</t>
  </si>
  <si>
    <t>Drop off Novosibirsk</t>
  </si>
  <si>
    <t>Drop off St.Petersburg</t>
  </si>
  <si>
    <t>Drop off Ekaterinburg</t>
  </si>
  <si>
    <t>Locations on request</t>
  </si>
  <si>
    <t>Schedule</t>
  </si>
  <si>
    <t>Validity</t>
  </si>
  <si>
    <t>Remark</t>
  </si>
  <si>
    <t>20GP</t>
  </si>
  <si>
    <t>40HQ</t>
  </si>
  <si>
    <t>RIZHAO</t>
  </si>
  <si>
    <t>VRANGEL</t>
  </si>
  <si>
    <t>SWIFT</t>
  </si>
  <si>
    <t>direct</t>
  </si>
  <si>
    <t>Rostov/ Kazan/ Krasnodar/ Krasnoyarks/ Irkutsk/ Tolliyatti / Samara</t>
  </si>
  <si>
    <t>ETD May 29</t>
  </si>
  <si>
    <t>till May 31</t>
  </si>
  <si>
    <t xml:space="preserve">incl DTHC, non IMO </t>
  </si>
  <si>
    <t>QINGDAO</t>
  </si>
  <si>
    <t>via CNRZH</t>
  </si>
  <si>
    <t>NNS</t>
  </si>
  <si>
    <t>ETD May 28</t>
  </si>
  <si>
    <t>VMTP</t>
  </si>
  <si>
    <t>GANTONG</t>
  </si>
  <si>
    <t>direct, DAGANG</t>
  </si>
  <si>
    <t>ETD May 25</t>
  </si>
  <si>
    <t>HUAXIN</t>
  </si>
  <si>
    <t>ETD May 20</t>
  </si>
  <si>
    <t>FESCO</t>
  </si>
  <si>
    <t>ETD May 15/22</t>
  </si>
  <si>
    <t>VMTP/VMKT</t>
  </si>
  <si>
    <t>SCO</t>
  </si>
  <si>
    <t>ETD May 15/23</t>
  </si>
  <si>
    <t>incl DTHC,DDF, non IMO</t>
  </si>
  <si>
    <t>YOULIAN</t>
  </si>
  <si>
    <t>ETD May 23</t>
  </si>
  <si>
    <t>VMKT</t>
  </si>
  <si>
    <t>VMPP</t>
  </si>
  <si>
    <t>REEL</t>
  </si>
  <si>
    <t>ETD May 25/31</t>
  </si>
  <si>
    <t>STF</t>
  </si>
  <si>
    <t>direct'</t>
  </si>
  <si>
    <t>ETD May 15</t>
  </si>
  <si>
    <t>incl DTHC, IMO rate, except 2/3/4 class</t>
  </si>
  <si>
    <t>incl DTHC, IMO rate, except 5/6/7/8/9 class</t>
  </si>
  <si>
    <t>incl DTHC, IMO 8/9, available only after acceptance confirmation</t>
  </si>
  <si>
    <t>incl DTHC, IMO 2/3/4/5/6/7, available only after acceptance confirmation</t>
  </si>
  <si>
    <t>incl DTHC, IMO rate, available only after acceptance confirmation</t>
  </si>
  <si>
    <t>ST. PETERSBURG</t>
  </si>
  <si>
    <t>ETD Jun 13</t>
  </si>
  <si>
    <t>incl DTHC, WSC, non IMO rate</t>
  </si>
  <si>
    <t>incl DTHC, WSC, 2/3/4/5/6/7/8/9 IMO rate</t>
  </si>
  <si>
    <t>SAFETRANS</t>
  </si>
  <si>
    <t>ETD Jun 7</t>
  </si>
  <si>
    <t>till Jun 7</t>
  </si>
  <si>
    <t>/</t>
  </si>
  <si>
    <t>incl DTHC, WSC, Class 8/9</t>
  </si>
  <si>
    <t>MLINE</t>
  </si>
  <si>
    <t>ETD May 19</t>
  </si>
  <si>
    <t>incl DTHC, IMO CARGO</t>
  </si>
  <si>
    <t>NOVOROSSYISK</t>
  </si>
  <si>
    <t>via EGYPT</t>
  </si>
  <si>
    <t>FIFO rate</t>
  </si>
  <si>
    <t>CSTAR</t>
  </si>
  <si>
    <t>via Turkey</t>
  </si>
  <si>
    <t>ETD Jun 1</t>
  </si>
  <si>
    <t xml:space="preserve">incl DTHC, WCS, non IMO </t>
  </si>
  <si>
    <t>FIFO Subject, DTHC, DDF</t>
  </si>
  <si>
    <t>UGL</t>
  </si>
  <si>
    <t>ETD May 26</t>
  </si>
  <si>
    <t>ETD Jun 4/16</t>
  </si>
  <si>
    <t>till Jun 15</t>
  </si>
  <si>
    <t>incl DTHC, WSC, DDF</t>
  </si>
  <si>
    <t>RTG</t>
  </si>
  <si>
    <t>AKKON</t>
  </si>
  <si>
    <t>via Gemlik</t>
  </si>
  <si>
    <t>ETD May 21</t>
  </si>
  <si>
    <t>XHL</t>
  </si>
  <si>
    <t>via TAICANG</t>
  </si>
  <si>
    <t>BUSAN</t>
  </si>
  <si>
    <t>VVO/VRANGEL</t>
  </si>
  <si>
    <t>ETD May 8/23</t>
  </si>
  <si>
    <t>Till may 31</t>
  </si>
  <si>
    <t>incl DTHC</t>
  </si>
  <si>
    <t>ETD May 5/16/27</t>
  </si>
  <si>
    <t>VVO</t>
  </si>
  <si>
    <t>DONGYONG</t>
  </si>
  <si>
    <t>Every Sun</t>
  </si>
  <si>
    <t>Till Feb 28</t>
  </si>
  <si>
    <t>DALIAN</t>
  </si>
  <si>
    <t>ETD May 17/24</t>
  </si>
  <si>
    <t>incl DTHC，non IMO rate</t>
  </si>
  <si>
    <t>SINOKOR</t>
  </si>
  <si>
    <t>Every Mon, Sun</t>
  </si>
  <si>
    <t>DONGYOUNG</t>
  </si>
  <si>
    <t>TIANJIN</t>
  </si>
  <si>
    <t>ETD May 16/23</t>
  </si>
  <si>
    <t>VUXX</t>
  </si>
  <si>
    <t>via NGB/SHA/RZH</t>
  </si>
  <si>
    <t>on request</t>
  </si>
  <si>
    <t>GANGTONG</t>
  </si>
  <si>
    <t>ETD May 17/30</t>
  </si>
  <si>
    <t>Every MON</t>
  </si>
  <si>
    <t>incl DTHC, IMO rate, 5/6/7/8/9</t>
  </si>
  <si>
    <t>incl DTHC, IMO rate, 2/3/4</t>
  </si>
  <si>
    <t>incl DTHC, IMO 4/5/6/8/9ate, only after acceptance</t>
  </si>
  <si>
    <t>incl DTHC, IMO 2/3 rate, only after acceptance</t>
  </si>
  <si>
    <t>incl DTHC, IMO rate, only after acceptance</t>
  </si>
  <si>
    <t>via RIZHAO</t>
  </si>
  <si>
    <t>ETD CNRZH Jun 13/6</t>
  </si>
  <si>
    <t>ETD May 12</t>
  </si>
  <si>
    <t>till May 15</t>
  </si>
  <si>
    <t>FIFO</t>
  </si>
  <si>
    <t>via QINGDAO</t>
  </si>
  <si>
    <t>Every WED</t>
  </si>
  <si>
    <t>till Apr 30</t>
  </si>
  <si>
    <t>via SHANGHAI</t>
  </si>
  <si>
    <t>Every WED/SUN</t>
  </si>
  <si>
    <t>via Mundra</t>
  </si>
  <si>
    <t>Every Apr 30/May 7</t>
  </si>
  <si>
    <t>Every Apr 30</t>
  </si>
  <si>
    <t>incl DTHC, DDF</t>
  </si>
  <si>
    <t>KALININGRAD</t>
  </si>
  <si>
    <t>relay</t>
  </si>
  <si>
    <t>STP FCT</t>
  </si>
  <si>
    <t>via NINGBO</t>
  </si>
  <si>
    <t>ETD Apr 3</t>
  </si>
  <si>
    <t>till Apr 15</t>
  </si>
  <si>
    <t>incl DTHC, WSC</t>
  </si>
  <si>
    <t>ETD May 8/22</t>
  </si>
  <si>
    <t>NANSHA</t>
  </si>
  <si>
    <t>ETD May 13/19</t>
  </si>
  <si>
    <t>YANTIAN</t>
  </si>
  <si>
    <t>ETD May 12/18</t>
  </si>
  <si>
    <t>ETD May 17/22/30</t>
  </si>
  <si>
    <t>SHEKOU</t>
  </si>
  <si>
    <t>HEUNG-A</t>
  </si>
  <si>
    <t>via HKHKG</t>
  </si>
  <si>
    <t>incl DTHC IMO 2/3/4</t>
  </si>
  <si>
    <t>incl DTHC IMO 5/6/7/8/9</t>
  </si>
  <si>
    <t>HONG KONG</t>
  </si>
  <si>
    <t>ETD Dec 17/21/25</t>
  </si>
  <si>
    <t>till Feb 28</t>
  </si>
  <si>
    <t>ST.PETERSBURG</t>
  </si>
  <si>
    <t>ETD May 10</t>
  </si>
  <si>
    <t>ETD Jun 15</t>
  </si>
  <si>
    <t>ETD Jun 6</t>
  </si>
  <si>
    <t>incl DTHC, non IMO</t>
  </si>
  <si>
    <t>FIFO, non IMO</t>
  </si>
  <si>
    <t>via Kumport</t>
  </si>
  <si>
    <t>ETD May 31</t>
  </si>
  <si>
    <t>ETD May 10/23</t>
  </si>
  <si>
    <t>ETD May 9/23</t>
  </si>
  <si>
    <t>ETD May 29，Jun 11</t>
  </si>
  <si>
    <t>SHWKOU</t>
  </si>
  <si>
    <t>ETD Jun 10</t>
  </si>
  <si>
    <t>NINGBO</t>
  </si>
  <si>
    <t>PPK-1</t>
  </si>
  <si>
    <t>NECO</t>
  </si>
  <si>
    <t>NAKHODKA</t>
  </si>
  <si>
    <t>PANDA</t>
  </si>
  <si>
    <t>ETD May 8/12</t>
  </si>
  <si>
    <t>ETD May 22</t>
  </si>
  <si>
    <t>ETD May 14</t>
  </si>
  <si>
    <t>ETD May 16/22/28</t>
  </si>
  <si>
    <t>ETD May 18</t>
  </si>
  <si>
    <t>ETD Jun 11</t>
  </si>
  <si>
    <t>till Jun 11</t>
  </si>
  <si>
    <t>via Yarimca</t>
  </si>
  <si>
    <t>via Nansha</t>
  </si>
  <si>
    <t>via Taicang</t>
  </si>
  <si>
    <t>ETD Jun 8</t>
  </si>
  <si>
    <t>till Jun 10</t>
  </si>
  <si>
    <t>SHANGHAI</t>
  </si>
  <si>
    <t>ETD May 22/29</t>
  </si>
  <si>
    <t>ETD May 8/14/21/26</t>
  </si>
  <si>
    <t>ETD May 8/18/24</t>
  </si>
  <si>
    <t>ETD May 17/23/30</t>
  </si>
  <si>
    <t>ETD May 21/30</t>
  </si>
  <si>
    <t>ETD May 16/25/31</t>
  </si>
  <si>
    <t>TACANG</t>
  </si>
  <si>
    <t>direct, CNSHA empty pick up</t>
  </si>
  <si>
    <t>TAICANG</t>
  </si>
  <si>
    <t>Via Ningbo</t>
  </si>
  <si>
    <t>incl DTHC IMO rate, available only after acceptance confirmation</t>
  </si>
  <si>
    <t>incl DTHC, IMO rate (except 5/6/7/8/9), available only after acceptance confirmation</t>
  </si>
  <si>
    <t>incl DTHC, IMO rate (except 2/3/4), available only after acceptance confirmation</t>
  </si>
  <si>
    <t>incl DTHC, IMO 4/5/6/8/9, available only after acceptance confirmation</t>
  </si>
  <si>
    <t>incl DTHC, IMO 2/3, available only after acceptance confirmation</t>
  </si>
  <si>
    <t>ETD May 17</t>
  </si>
  <si>
    <t>incl DTHC, WSC， IMO 2/3/4/5/6/7/8/9</t>
  </si>
  <si>
    <t>ETD Jun 9</t>
  </si>
  <si>
    <t>incl DTHC, WSC, Class3/6/ 8/9</t>
  </si>
  <si>
    <t>via Yarimza</t>
  </si>
  <si>
    <t>ETD Jun 3</t>
  </si>
  <si>
    <t>ETD Apr 11</t>
  </si>
  <si>
    <t>till Apr 10</t>
  </si>
  <si>
    <t xml:space="preserve">FIFO, IMO CARGO </t>
  </si>
  <si>
    <t>ETD May 7</t>
  </si>
  <si>
    <t>ETD May 5/20</t>
  </si>
  <si>
    <t>ETD May 25/Jun 7/18</t>
  </si>
  <si>
    <t>till Jun 18</t>
  </si>
  <si>
    <t>Load point</t>
  </si>
  <si>
    <t>Custom Point</t>
  </si>
  <si>
    <t>Unload Moscow</t>
  </si>
  <si>
    <t>Currency</t>
  </si>
  <si>
    <t>Terms</t>
  </si>
  <si>
    <t>ALASH/KHOR</t>
  </si>
  <si>
    <t>MOSCOW</t>
  </si>
  <si>
    <t>USD</t>
  </si>
  <si>
    <t>DOOR - DOOR rate</t>
  </si>
  <si>
    <t>GUANGZHOU</t>
  </si>
  <si>
    <t>SHENZHEN</t>
  </si>
  <si>
    <t>ERLIAN</t>
  </si>
  <si>
    <t>RMB</t>
  </si>
  <si>
    <t>25 May</t>
  </si>
  <si>
    <t>MANZHOULI</t>
  </si>
  <si>
    <t>TIANJIN / QINGDAO</t>
  </si>
  <si>
    <t>SHANGHAI / NINGBO</t>
  </si>
  <si>
    <t>GUANGZHOU / SHENZHEN</t>
  </si>
  <si>
    <t>XIAMEN</t>
  </si>
  <si>
    <t>ETD May 24/31</t>
  </si>
  <si>
    <t>ETD May 2/15/22</t>
  </si>
  <si>
    <t>ETD May 19/26</t>
  </si>
  <si>
    <t>ETD May 30</t>
  </si>
  <si>
    <t>Shippng type</t>
  </si>
  <si>
    <t>Unload point</t>
  </si>
  <si>
    <t>Cargo type</t>
  </si>
  <si>
    <t>100 KGS+</t>
  </si>
  <si>
    <t>300 KGS+</t>
  </si>
  <si>
    <t>500 KGS+</t>
  </si>
  <si>
    <t>1000 KGS+</t>
  </si>
  <si>
    <t>M/W</t>
  </si>
  <si>
    <t xml:space="preserve">Schedule </t>
  </si>
  <si>
    <t>TT</t>
  </si>
  <si>
    <t>Other</t>
  </si>
  <si>
    <t>LTL (TIR)</t>
  </si>
  <si>
    <t>DONGGUAN / YIWU</t>
  </si>
  <si>
    <t>MOSCOW
C/p code: 10005020</t>
  </si>
  <si>
    <t>&lt;167</t>
  </si>
  <si>
    <t>16 RMB</t>
  </si>
  <si>
    <t>15 RMB</t>
  </si>
  <si>
    <t>13 RMB</t>
  </si>
  <si>
    <t>11 RMB</t>
  </si>
  <si>
    <t xml:space="preserve">Cargo type = Total GW (KG) / Measurement (m3) </t>
  </si>
  <si>
    <t>Every weekend</t>
  </si>
  <si>
    <t>8-12 days</t>
  </si>
  <si>
    <t>Custom fee 300 RMB/BL + Doc fee 300 RMB/CMR
Warehouse cut-off every Wed 18-00 PM
SI cut-off Sun 18-00 PM
Direct vehicle, without any reloading
If the value of the goods exceeds 300000 RMB/ticket, an additional fee will be charged: 0.3% of the value of the goods (0.3% of the value)</t>
  </si>
  <si>
    <t>2. Extra long or high goods require additional charges
Length 4-6 meters+¥ 2/kg // Length 6-8 meters+￥ 3/kg //Single inquiry 1 with a length greater than 8 meters and a height exceeding 1.4 meters+￥ 1/kg
Height exceeding 1.8 meters+¥ 2/kg // Single inquiry for heights exceeding 2 meters
3. If a single shipment exceeds 20 cubic meters or 5 tons, it may need to be divided into batches, depending on the vehicle's loading situation:
4. This quotation does not include any abnormal fees such as customs inspection, destination customs clearance, destination customs supervision warehouse operation fees, storage fees, or demurrage fees;
5. If the order is temporarily cancelled due to the shipper's reasons after entering the warehouse, the loss of warehouse fee will be charged at 80% of the shipping cost:
6. Any demurrage fees incurred due to customs inspection, incorrect documents provided by the customer, or other reasons shall be borne by the customer themselves, with a demurrage fee of RMB 2000 per day</t>
  </si>
  <si>
    <t>168-300</t>
  </si>
  <si>
    <t>14 RMB</t>
  </si>
  <si>
    <t>12 RMB</t>
  </si>
  <si>
    <t>10 RMB</t>
  </si>
  <si>
    <t>300-500</t>
  </si>
  <si>
    <t>9 RMB</t>
  </si>
  <si>
    <t>500-800</t>
  </si>
  <si>
    <t>8 RMB</t>
  </si>
  <si>
    <t>&gt;800</t>
  </si>
  <si>
    <t>Packing type</t>
  </si>
  <si>
    <t>Min</t>
  </si>
  <si>
    <t>Rate</t>
  </si>
  <si>
    <t>M/V</t>
  </si>
  <si>
    <t>LTL</t>
  </si>
  <si>
    <t>YIWU</t>
  </si>
  <si>
    <t>ALASHANKOU/MANZHOULI</t>
  </si>
  <si>
    <t>Cartons</t>
  </si>
  <si>
    <t>1 m3</t>
  </si>
  <si>
    <t>150 USD</t>
  </si>
  <si>
    <t>1 m3 = 250 KGS</t>
  </si>
  <si>
    <t>Every Wed/Fri</t>
  </si>
  <si>
    <t>20-25 days</t>
  </si>
  <si>
    <t>Custom transit 200 USD/BL + Custom 350 RMB BL custom fee 
+ Operational fee 100 USD/BL</t>
  </si>
  <si>
    <t>- cargo value no more 500000 RMB
- exlcude pick-up fee
- for non stackable cargo please use H = 2.8 M
- The weight of a single item shall not exceed 3 tons</t>
  </si>
  <si>
    <t>DONGGUAN</t>
  </si>
  <si>
    <t>160 USD</t>
  </si>
  <si>
    <t>Pallets</t>
  </si>
  <si>
    <t>170 USD</t>
  </si>
  <si>
    <t>180 USD</t>
  </si>
  <si>
    <t>Cartons/Pallets</t>
  </si>
  <si>
    <t>250 USD</t>
  </si>
  <si>
    <t>15-18 days</t>
  </si>
  <si>
    <t>260 USD</t>
  </si>
  <si>
    <t>210 USD</t>
  </si>
  <si>
    <t>220 USD</t>
  </si>
  <si>
    <t>MINSK</t>
  </si>
  <si>
    <t>180USD</t>
  </si>
  <si>
    <t>SAMARA/EKATERINBURG/CHELYABINSK/KAZAN/NIZHNYI NOVGOROD need to check separetely</t>
  </si>
  <si>
    <t>CMB</t>
  </si>
  <si>
    <t>X &lt; 5</t>
  </si>
  <si>
    <t>5 &lt; X &lt; 10</t>
  </si>
  <si>
    <t>10 &lt; X &lt; 25</t>
  </si>
  <si>
    <t>25 &lt; X &lt; 30</t>
  </si>
  <si>
    <t>30 &lt; X &lt; 35</t>
  </si>
  <si>
    <t>35 &lt; X &lt; 45</t>
  </si>
  <si>
    <t>Packing</t>
  </si>
  <si>
    <t>8T &lt; X &lt; 9T</t>
  </si>
  <si>
    <t>9T &lt; X &lt; 10T</t>
  </si>
  <si>
    <t>10T &lt; X &lt;15T</t>
  </si>
  <si>
    <t>LCL (train)</t>
  </si>
  <si>
    <t>CHANGSHA</t>
  </si>
  <si>
    <t>SHUSHARY</t>
  </si>
  <si>
    <t>General Cargo</t>
  </si>
  <si>
    <t>80 USD</t>
  </si>
  <si>
    <t>85 USD</t>
  </si>
  <si>
    <t>90 USD</t>
  </si>
  <si>
    <t>95 USD</t>
  </si>
  <si>
    <t>100 USD</t>
  </si>
  <si>
    <t>115 USD</t>
  </si>
  <si>
    <t>1 m3 = 500 KG</t>
  </si>
  <si>
    <t>Operational fee:
- X &lt; 25 CBM - 200 USD/BL
- 25 &lt; X &lt; 30 or 8T &lt; X &lt; 9T - 300 USD/BL
- 30 &lt; X &lt; 35 or 9T &lt; X &lt; 10T - 350 USD/BL
- 35 &lt; 35 &lt; 45 or 10T &lt; X &lt; 15T - 400 USD/BL
1. The quotation includes:
① One customs declaration (up to 10 product names), for multiple customs declarations or multiple product names, a fee of 350 RMB/SET will be charged (one customs declaration fee will be charged for every 10 product names)
② One railway bill, if more 150 USD/BL will be charged 
③ One weighing fee, if there are 2 bills fee of 30RMB will be charged from the second bill onwards
2. Empty cabin fee: Please notify our company before 11:00 am 7 working days before departure for customs clearance/data changes. Failure to notify in a timely manner will result in empty cabin fees and freight charges at the same price</t>
  </si>
  <si>
    <t>Cargo with batteries or non DG chemical goods</t>
  </si>
  <si>
    <t>105 USD</t>
  </si>
  <si>
    <t>110 USD</t>
  </si>
  <si>
    <t>120 USD</t>
  </si>
  <si>
    <t>125 USD</t>
  </si>
  <si>
    <t>Non cartons</t>
  </si>
  <si>
    <t>130 USD</t>
  </si>
  <si>
    <t>135 USD</t>
  </si>
  <si>
    <t>140 USD</t>
  </si>
  <si>
    <t>GUANGZHOU 
YIWU
ZHENGZHOU</t>
  </si>
  <si>
    <t>130 USd</t>
  </si>
  <si>
    <t>145 USD</t>
  </si>
  <si>
    <t>Cargo with batteries or non DG general goods</t>
  </si>
  <si>
    <t>155 USD</t>
  </si>
  <si>
    <t>1 &lt; X &lt; 10</t>
  </si>
  <si>
    <t>10 &lt; X &lt; 30</t>
  </si>
  <si>
    <t>X &gt; 30</t>
  </si>
  <si>
    <t>X &gt; 10T</t>
  </si>
  <si>
    <t>PINGHU</t>
  </si>
  <si>
    <t>VORSINO</t>
  </si>
  <si>
    <t>Operational fee:
- X &lt; 30 CBM - 250 USD/BL
- X &gt; 30 or  X &gt; 20T - 350 USD/BL
1. The quotation includes:
① One customs declaration (up to 5 product names), for multiple customs declarations or multiple product names, a fee of 350 RMB/SET will be charged (one customs declaration fee will be charged for every 10 product names)
② One railway bill, if more 150 USD/BL will be charged 
③ One weighing fee, if there are 2 bills fee of 30RMB will be charged from the second bill onwards
2. Empty cabin fee: Please notify our company before 11:00 am 7 working days before departure for customs clearance/data changes. Failure to notify in a timely manner will result in empty cabin fees and freight charges at the same price</t>
  </si>
  <si>
    <t>10T &lt; X &lt; 15T</t>
  </si>
  <si>
    <t>Selyatino/Belyi Rast/Vorsino</t>
  </si>
  <si>
    <t xml:space="preserve">Operational fee:
- X &lt; 30 CBM - 200 USD/BL
- 30 &lt; X &lt; 35 or 9T &lt; X &lt; 10T - 350 USD/BL
- 35 &lt; X &lt; 45 or 10T &lt; X &lt; 15T - 400 USD/BL
1. The quotation includes:
① One customs declaration (up to 10 product names), for multiple customs declarations or multiple product names, a fee of 350 RMB/SET will be charged (one customs declaration fee will be charged for every 10 product names)
② One railway bill, if more 150 USD/BL will be charged 
③ One weighing fee, if there are 2 bills fee of 30RMB will be charged from the second bill onwards
2. Empty cabin fee: Please notify our company before 11:00 am 7 working days before departure for customs clearance/data changes. Failure to notify in a timely manner will result in empty cabin fees and freight charges at the same price
</t>
  </si>
  <si>
    <t>Shipping type</t>
  </si>
  <si>
    <t>Type</t>
  </si>
  <si>
    <t>Custom point</t>
  </si>
  <si>
    <t xml:space="preserve"> POD</t>
  </si>
  <si>
    <t>ETD</t>
  </si>
  <si>
    <t>Other charges</t>
  </si>
  <si>
    <t>Comments</t>
  </si>
  <si>
    <t>LCL (sea + train)</t>
  </si>
  <si>
    <t>direct sea</t>
  </si>
  <si>
    <t>VLADIVOSTOK</t>
  </si>
  <si>
    <t>40 USD</t>
  </si>
  <si>
    <t>Every week</t>
  </si>
  <si>
    <t>4-6 days</t>
  </si>
  <si>
    <t>CFS 7500 RUB/RT + 80 USD/BL</t>
  </si>
  <si>
    <t>Choose the biggest one</t>
  </si>
  <si>
    <t>min 1RT exclude local charges in China</t>
  </si>
  <si>
    <t>45 USD</t>
  </si>
  <si>
    <t>130 USD/m3 or 475 USD/TON</t>
  </si>
  <si>
    <t>30-35 days</t>
  </si>
  <si>
    <t>135 USD/m3 or 480 USD/TON</t>
  </si>
  <si>
    <t>Departure station/port</t>
  </si>
  <si>
    <t>Empty pick-up</t>
  </si>
  <si>
    <t>Drop off Minsk</t>
  </si>
  <si>
    <t>JINHUA</t>
  </si>
  <si>
    <t>Early June</t>
  </si>
  <si>
    <t>FOR-FOR rate</t>
  </si>
  <si>
    <t>6.10-15</t>
  </si>
  <si>
    <t>DOOR-FOR rate</t>
  </si>
  <si>
    <t>All about rates</t>
  </si>
  <si>
    <t>- rates provide for not IMO cargo, for IMO cargo should provide MSDS</t>
  </si>
  <si>
    <t>- all O/F, Rail FCL rates in USD</t>
  </si>
  <si>
    <t>- all rates included O/F, DTHC (except Novo), container and d/o</t>
  </si>
  <si>
    <t>- all rates on FOB basis and dont include local charges, if there no marks in remarks</t>
  </si>
  <si>
    <t>- this is FAK rate and all of them are subject of conversations</t>
  </si>
  <si>
    <t>- rates from Japan, South-Eastern Asia, India, UAE to Russia could be requested</t>
  </si>
  <si>
    <t>- All O/F rates are fixed by ATD, please be noted</t>
  </si>
  <si>
    <t xml:space="preserve">- Before placing booking need to check space and equipment </t>
  </si>
  <si>
    <r>
      <rPr>
        <b val="false"/>
        <i val="false"/>
        <strike val="false"/>
        <color rgb="FF000000"/>
        <sz val="10"/>
        <u val="none"/>
      </rPr>
      <t xml:space="preserve">The quotation includes one custom transit declaration, excluding customs clearance fees and insurance premiums.
1. If customs clearance and unloading exceed 2 days, a vehicle holding fee of $300 per vehicle per day will be charged;
2. If the value of a single vehicle exceeds 1.5 million yuan, the customs transfer fee will be calculated separately;
3. After customs clearance at the destination, free delivery within 30 kilometers of the city will be made to the door, and the excess will be paid on a reimbursement basis.
4. </t>
    </r>
    <r>
      <rPr>
        <b val="true"/>
        <i val="false"/>
        <strike val="false"/>
        <color rgb="FF000000"/>
        <sz val="10"/>
        <u val="none"/>
      </rPr>
      <t>ERLIAN GW is 20T/80CBM , KHORGOS/ALASHANKOU 20T/90CBM</t>
    </r>
    <r>
      <rPr>
        <b val="false"/>
        <i val="false"/>
        <strike val="false"/>
        <color rgb="FF000000"/>
        <sz val="10"/>
        <u val="none"/>
      </rPr>
      <t xml:space="preserve">
5. one more export declaration + 200USD/declaration
6. Cargo Value no more 100000 USD
7. If cargo is equipment +1200 RMB/car
8. 22 days TT
9. Model: Domestic 13 M high rail, foreign, one section tarpaulin;</t>
    </r>
  </si>
  <si>
    <r>
      <rPr>
        <b val="true"/>
        <i val="false"/>
        <strike val="false"/>
        <color rgb="FF000000"/>
        <sz val="10"/>
        <u val="none"/>
      </rPr>
      <t>TIR RATE BOOK IN ADVANCE !!!!</t>
    </r>
    <r>
      <rPr>
        <b val="false"/>
        <i val="false"/>
        <strike val="false"/>
        <color rgb="FF000000"/>
        <sz val="10"/>
        <u val="none"/>
      </rPr>
      <t xml:space="preserve">
The quotation includes one custom transit declaration, excluding customs clearance fees and insurance premiums.
1. If customs clearance and unloading exceed 2 days, a vehicle holding fee of $300 per vehicle per day will be charged;
2. If the value of a single vehicle exceeds 1.5 million yuan, the customs transfer fee will be calculated separately;
3. After customs clearance at the destination, free delivery within 100 kilometers of the city will be made to the door, and the excess will be paid on a reimbursement basis.
4. Booking before one week
5. one more export declaration + 200USD/declaration
6. Cargo Value no more 1800000 RMB
7. If cargo is equipment +1200 RMB/car
8. 15 days TT
9. Van size: 
13.4*2.46*2.65m, maximum load capacity 80 cubic meters/22 tons of cargo
</t>
    </r>
  </si>
  <si>
    <r>
      <rPr>
        <b val="false"/>
        <i val="false"/>
        <strike val="false"/>
        <color rgb="FF000000"/>
        <sz val="10"/>
        <u val="none"/>
      </rPr>
      <t xml:space="preserve">Warhouse cut-off -10 days before ETD
SI cut off every Wed
ETD every Fri
TT: 25-28 days 
FOR - FOR rate, not include pick-up fee
Client arrange pick-up and clearence by him self
1. Non stackable fee: calculated based on a purchase height of 2.5M
2. Extra size surcharge: If the weight/length of a single item exceeds 3 tons/3 meters, the excess amount will be calculated at RMB 300 per unit for 1 ton/1 meter per piece, Min300RMB， This fee can only be prepaid and cannot be paid on delivery.
3. The billing shall be based on the actual warehousing data, MIN 1CBM
4. The quotation does not include insurance premiums and inspection fees incurred due to customs inspections. These fees will be reimbursed and charged to the customer on a case by case basis
5. Starting from the day of placing the order, all orders that have not been received in the warehouse for at least 15 days or have been received but are stuck in the Changsha warehouse without any progress for at least 15 days will be charged according to the latest published freight rate
If the goods are delivered to the Yiwu/Zhengzhou consolidation warehouse and there are single items exceeding 3TON, a forklift fee of RMB 800 per item will be charged
</t>
    </r>
    <r>
      <rPr>
        <b val="true"/>
        <i val="false"/>
        <strike val="false"/>
        <color rgb="FF000000"/>
        <sz val="10"/>
        <u val="none"/>
      </rPr>
      <t>Overseas segment</t>
    </r>
    <r>
      <rPr>
        <b val="false"/>
        <i val="false"/>
        <strike val="false"/>
        <color rgb="FF000000"/>
        <sz val="10"/>
        <u val="none"/>
      </rPr>
      <t xml:space="preserve">
St.Petersburg:
1. Destination station free storage standard: Free storage period of 3 days, starting from the day of unpacking. Storage fee for overdue 4-14 days: 96RUB/square meter/Day, storage fee for ≥ 15 days: 192RUB/square meter/Day. This fee can only be paid to the destination station's unpacking warehouse and cannot be collected domestically.
2. Additional charges for oversized items outside of St. Petersburg: 2 meters&lt;X ≤ 3 meters/2T&lt;X ≤ 3T: 100 USD/piece, 3 meters&lt;X ≤ 4 meters/3T&lt;X ≤ 4T: 160 USD/piece, 4 meters&lt;X ≤ 5 meters/4T&lt;X ≤ 5T: 200 USD/piece</t>
    </r>
  </si>
  <si>
    <r>
      <rPr>
        <b val="false"/>
        <i val="false"/>
        <strike val="false"/>
        <color rgb="FF000000"/>
        <sz val="10"/>
        <u val="none"/>
      </rPr>
      <t xml:space="preserve">Warhouse cut-off -10 days before ETD
SI cut off every Wed / ETD every Wed / TT: 15-18 days 
FOR - FOR rate, not include pick-up fee
Client arrange pick-up and clearence by him self
1. Non stackable fee: calculated based on a purchase height of 2.5M
2. Extra size surcharge: Single piece edge length of 3 meters ≤ single side ≤ 5 meters/single piece weight of 3Ton ≤ weight ≤ 5Ton, extra/extra length fee: 60RMB/RT (charged based on the total RT of the number of pieces exceeding the limit), minimum charge of 300RMB, this fee can only be prepaid and cannot be paid on delivery;
3. The billing shall be based on the actual warehousing data, MIN 1CBM
4. The quotation does not include insurance premiums and inspection fees incurred due to customs inspections. These fees will be reimbursed and charged to the customer on a case by case basis
5. Starting from the day of placing the order, all orders that have not been received in the warehouse for ≥ 7 days or have been received but are stuck in the Pinghu warehouse in Shenzhen without any progress for ≥ 7 days will be charged according to the latest published freight rate
6. Goods entering the warehouse require a storage fee of RMB130 per vehicle for cardboard boxes and RMB180 per vehicle for non cardboard packaging. Any additional charges will be settled in cash by the driver and the warehouse, or paid on behalf of our company.
7. This route requires the client to upload the customs declaration documents themselves. If the documents need to be uploaded on behalf of the client, the fee for uploading on behalf of the client is 150 RMB per time (including 10 items); An additional fee of 150RMB will be charged for every 10 customs declaration items.
</t>
    </r>
    <r>
      <rPr>
        <b val="true"/>
        <i val="false"/>
        <strike val="false"/>
        <color rgb="FF000000"/>
        <sz val="10"/>
        <u val="none"/>
      </rPr>
      <t>2、 Overseas segment</t>
    </r>
    <r>
      <rPr>
        <b val="false"/>
        <i val="false"/>
        <strike val="false"/>
        <color rgb="FF000000"/>
        <sz val="10"/>
        <u val="none"/>
      </rPr>
      <t xml:space="preserve">
1. Destination station free stacking standard: Volsino has a 3-day free stacking period, starting from the day of unpacking. Any excess will be charged at a rate of 10 USD/CBM/day, rounded to the nearest whole (e.g. 3.05 CBM, calculated at 4 CBM)
2. Volsino Overseas Oversized Surcharge Explanation: Each item is limited to 5M and within 5T, and cannot be accepted beyond 5M or 5T. Single piece X&lt;3M meters and X&lt;3T, free of charge. A single piece with a single-sided length of 3M ≤ X ＜ 5M and a weight of X ＜ 1T is priced at 80 USD per piece. A single piece with a single-sided length of 3M ≤ X ＜ 5M and a weight of 1T ≤ X ＜ 2T is priced at 100 USD per piece. A single piece with a single-sided length of 3M ≤ X ＜ 5M and a weight of 2T ≤ X ＜ 3T is priced at 150 USD per piece. A single inquiry is required for a single piece with a single-sided length of 0M ≤ X ＜ 5M and a weight of X ≥ 3T.
3. Operable within 5 meters/5 tons (not accepted beyond).
</t>
    </r>
  </si>
  <si>
    <r>
      <rPr>
        <b val="false"/>
        <i val="false"/>
        <strike val="false"/>
        <color rgb="FF000000"/>
        <sz val="10"/>
        <u val="none"/>
      </rPr>
      <t xml:space="preserve">Warhouse cut-off -10 days before ETD
SI cut off every Wed / ETD every Wed / TT: 20-25 days 
FOR - FOR rate, not include pick-up fee
Client arrange pick-up and clearence by him self
1. Non stackable fee: calculated based on a purchase height of 2.5M
2. Extra size surcharge: If the weight/length of a single item exceeds 3T/3M, the excess will be calculated at 300RMB per unit for 1T/1M, Min1T/1M。
3. The billing shall be based on the actual warehousing data, MIN 1CBM
4. The quotation does not include insurance premiums and inspection fees incurred due to customs inspections. These fees will be reimbursed and charged to the customer on a case by case basis
5. Starting from the day of placing the order, all orders that have not been received in the warehouse for at least 15 days or have been received but are stuck in the Changsha warehouse without any progress for at least 15 days will be charged according to the latest published freight rate
If the goods are delivered to the Yiwu/Zhengzhou consolidation warehouse and there are single items exceeding 3TON, a forklift fee of RMB 800 per item will be charged.
</t>
    </r>
    <r>
      <rPr>
        <b val="true"/>
        <i val="false"/>
        <strike val="false"/>
        <color rgb="FF000000"/>
        <sz val="10"/>
        <u val="none"/>
      </rPr>
      <t>2、 Overseas segment</t>
    </r>
    <r>
      <rPr>
        <b val="false"/>
        <i val="false"/>
        <strike val="false"/>
        <color rgb="FF000000"/>
        <sz val="10"/>
        <u val="none"/>
      </rPr>
      <t xml:space="preserve">
Selyatino:
1. Destination station free storage standard: The Sheliadino free storage period is 4 days, calculated from the day of unpacking. If exceeded, a fee of 10 USD/CBM/day will be charged (e.g. 3.05 CBM, calculated as 4 CBM)
2. Xie Liujino's overseas oversize surcharge fee explanation: If a single piece costs 2M ＜ X ＜ 3M or 1T ＜ X ＜ 2T, it will be charged at a rate of 30USD per piece; Single piece 3M ≤ X ＜ 4M or 2T ≤ X ＜ 3T, charged at 50USD per piece; Single piece 4M ≤ X ≤ 5M or 3T ≤ X ＜ 4T, charged at 80USD per piece; As long as a single piece is 4T ≤ X ≤ 5T, it will be charged at 180USD per piece. This fee can only be prepaid. (Maximum workload per piece: 5 meters or 5T, no more than that.)
Belyi Rast:
1. Destination station free storage standard: The free storage period for mines is 5 days, starting from the day of unpacking. If the delay is 6-10 days, it will be charged at USD10/CBM/day, and if it is 11-15 days, it will be charged at USD15/CBM/day. If it exceeds 15 days, a single inquiry will be made (e.g. 3.05CBM, charged at 4CBM)
2. Beilei Overseas Oversized Surcharge Explanation: For a single piece of 2M ＜ X ＜ 3M or 1T ＜ X ＜ 2T, a fee of 30USD per piece will be charged; Single piece 3M ≤ X ＜ 4M or 2T ≤ X ＜ 3T, charged at 50USD per piece; Single piece 4M ≤ X ≤ 5M or 3T ≤ X ＜ 4T, charged at 80USD per piece; As long as a single piece is 4T ≤ X ≤ 5T, it will be charged at 180USD per piece. This fee can only be prepaid. (Maximum workload per piece: 5 meters or 5T, no more than that.)
Vorsino:
1. Destination station free storage standard: Volsino has a 4-day free storage period, calculated from the day of unpacking. Any excess will be charged at a rate of 10 USD/CBM/day (e.g. 3.05 CBM, calculated at 4 CBM)
2. Volsino's overseas oversize surcharge fee explanation: If a single piece costs 2M ＜ X ＜ 3M or 1T ＜ X ＜ 2T, it will be charged at a rate of 30USD per piece; Single piece 3M ≤ X ＜ 4M or 2T ≤ X ＜ 3T, charged at 50USD per piece; Single piece 4M ≤ X ≤ 5M or 3T ≤ X ＜ 4T, charged at 80USD per piece; As long as a single piece is 4T ≤ X ≤ 5T, it will be charged at 180USD per piece. This fee can only be prepaid. (Maximum workload per piece: 5 meters or 5T, no more than that.)
</t>
    </r>
  </si>
</sst>
</file>

<file path=xl/styles.xml><?xml version="1.0" encoding="utf-8"?>
<styleSheet xmlns="http://schemas.openxmlformats.org/spreadsheetml/2006/main">
  <numFmts count="3">
    <numFmt numFmtId="300" formatCode="m&quot;月&quot;d&quot;日&quot;;@"/>
    <numFmt numFmtId="301" formatCode="0.00_ "/>
    <numFmt numFmtId="302" formatCode="0_ "/>
  </numFmts>
  <fonts count="14">
    <font>
      <name val="Microsoft YaHei"/>
    </font>
    <font>
      <name val="等线"/>
      <charset val="134"/>
      <color rgb="FF175CEB"/>
      <sz val="10"/>
      <u/>
      <scheme val="minor"/>
    </font>
    <font>
      <name val="Segoe UI Symbol"/>
      <family val="2"/>
      <color rgb="FF000000"/>
      <sz val="10"/>
    </font>
    <font>
      <name val="Calibri"/>
      <b val="true"/>
      <sz val="11"/>
    </font>
    <font>
      <name val="Microsoft YaHei"/>
    </font>
    <font/>
    <font>
      <name val="Microsoft YaHei"/>
    </font>
    <font/>
    <font/>
    <font/>
    <font>
      <b val="true"/>
    </font>
    <font>
      <b val="true"/>
      <sz val="12"/>
    </font>
    <font>
      <b val="true"/>
    </font>
    <font>
      <name val="Calibri"/>
      <sz val="12"/>
    </font>
  </fonts>
  <fills count="26">
    <fill>
      <patternFill patternType="none"/>
    </fill>
    <fill>
      <patternFill patternType="gray125"/>
    </fill>
    <fill>
      <patternFill patternType="solid">
        <fgColor rgb="FFA4C2F4"/>
        <bgColor auto="true"/>
      </patternFill>
    </fill>
    <fill>
      <patternFill patternType="solid">
        <fgColor rgb="FFFFFF00"/>
      </patternFill>
    </fill>
    <fill>
      <patternFill patternType="solid">
        <fgColor rgb="FF8CDDFA"/>
      </patternFill>
    </fill>
    <fill>
      <patternFill patternType="solid">
        <fgColor rgb="FF8CDDFA"/>
      </patternFill>
    </fill>
    <fill>
      <patternFill patternType="solid">
        <fgColor rgb="FFFFC9C7"/>
      </patternFill>
    </fill>
    <fill>
      <patternFill patternType="solid">
        <fgColor rgb="FFEAFAF1"/>
      </patternFill>
    </fill>
    <fill>
      <patternFill patternType="solid">
        <fgColor rgb="FFFFF9E3"/>
      </patternFill>
    </fill>
    <fill>
      <patternFill patternType="solid">
        <fgColor rgb="FFFDEBFF"/>
      </patternFill>
    </fill>
    <fill>
      <patternFill patternType="solid">
        <fgColor rgb="FFFFFFFF"/>
      </patternFill>
    </fill>
    <fill>
      <patternFill patternType="solid">
        <fgColor rgb="FFFFFFFF"/>
      </patternFill>
    </fill>
    <fill>
      <patternFill patternType="solid">
        <fgColor rgb="FFE5F6FF"/>
      </patternFill>
    </fill>
    <fill>
      <patternFill patternType="solid">
        <fgColor rgb="FFE5F6FF"/>
      </patternFill>
    </fill>
    <fill>
      <patternFill patternType="solid">
        <fgColor rgb="FFE5F6FF"/>
      </patternFill>
    </fill>
    <fill>
      <patternFill patternType="solid">
        <fgColor rgb="FFEAFAF1"/>
      </patternFill>
    </fill>
    <fill>
      <patternFill patternType="solid">
        <fgColor rgb="FF8CDDFA"/>
      </patternFill>
    </fill>
    <fill>
      <patternFill patternType="solid">
        <fgColor rgb="FF8CDDFA"/>
      </patternFill>
    </fill>
    <fill>
      <patternFill patternType="solid">
        <fgColor rgb="FFFDEBFF"/>
      </patternFill>
    </fill>
    <fill>
      <patternFill patternType="solid">
        <fgColor rgb="FFFDEBFF"/>
      </patternFill>
    </fill>
    <fill/>
    <fill>
      <patternFill patternType="solid">
        <fgColor rgb="FFFFF3EB"/>
      </patternFill>
    </fill>
    <fill>
      <patternFill patternType="solid">
        <fgColor rgb="FFA4C2F4"/>
        <bgColor auto="true"/>
      </patternFill>
    </fill>
    <fill>
      <patternFill patternType="solid">
        <fgColor rgb="FFEAFAF1"/>
      </patternFill>
    </fill>
    <fill>
      <patternFill patternType="solid">
        <fgColor rgb="FFFFE9E8"/>
      </patternFill>
    </fill>
    <fill>
      <patternFill patternType="solid">
        <fgColor rgb="FFFFE9E8"/>
      </patternFill>
    </fill>
  </fills>
  <borders count="52">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CCCCCC"/>
      </left>
      <right style="thin">
        <color rgb="FF000000"/>
      </right>
      <top style="thin">
        <color rgb="FF000000"/>
      </top>
    </border>
    <border>
      <left style="thin">
        <color rgb="FFCCCCCC"/>
      </left>
      <right style="thin">
        <color rgb="FF000000"/>
      </right>
      <top style="thin">
        <color rgb="FFCCCCCC"/>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right style="thin">
        <color rgb="FF000000"/>
      </right>
      <top style="thin">
        <color rgb="FF000000"/>
      </top>
    </border>
    <border>
      <left style="thin">
        <color rgb="FFCCCCCC"/>
      </left>
      <right style="thin">
        <color rgb="FF000000"/>
      </right>
      <top style="thin">
        <color rgb="FFCCCCCC"/>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rder>
    <border>
      <top style="thin">
        <color rgb="FF000000"/>
      </top>
    </border>
    <border/>
    <border/>
    <border/>
    <border>
      <left style="thin">
        <color rgb="FF000000"/>
      </lef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
      <top style="thin">
        <color rgb="FF000000"/>
      </top>
    </border>
    <border>
      <right style="thin">
        <color rgb="FF000000"/>
      </right>
    </border>
    <border>
      <bottom style="thin">
        <color rgb="FF000000"/>
      </bottom>
    </border>
    <border>
      <bottom style="thin">
        <color rgb="FF000000"/>
      </bottom>
    </border>
    <border/>
    <border/>
    <border>
      <right style="thin">
        <color rgb="FF000000"/>
      </right>
      <bottom style="thin">
        <color rgb="FF000000"/>
      </bottom>
    </border>
    <border>
      <left style="thin">
        <color rgb="FF000000"/>
      </left>
      <top/>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rder>
    <border>
      <right style="thin">
        <color rgb="FF000000"/>
      </right>
      <top style="thin">
        <color rgb="FF000000"/>
      </top>
    </border>
  </borders>
  <cellStyleXfs>
    <xf fontId="6" fillId="0" borderId="0" xfId="0">
      <alignment vertical="center"/>
    </xf>
  </cellStyleXfs>
  <cellXfs count="18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bottom"/>
    </xf>
    <xf fontId="3" fillId="2" borderId="2" xfId="0">
      <alignment horizontal="center" vertical="bottom"/>
    </xf>
    <xf fontId="0" fillId="0" borderId="2" xfId="0">
      <alignment vertical="center"/>
    </xf>
    <xf fontId="0" fillId="0" borderId="3" xfId="0">
      <alignment vertical="center"/>
    </xf>
    <xf fontId="0" fillId="0" borderId="4" xfId="0">
      <alignment vertical="center"/>
    </xf>
    <xf fontId="3" fillId="2" borderId="5" xfId="0">
      <alignment horizontal="center" vertical="bottom"/>
    </xf>
    <xf fontId="0" fillId="0" borderId="1" xfId="0">
      <alignment vertical="center"/>
    </xf>
    <xf fontId="0" fillId="3" borderId="1" xfId="0">
      <alignment vertical="center"/>
    </xf>
    <xf fontId="0" fillId="0" borderId="6" xfId="0">
      <alignment vertical="center" wrapText="true"/>
    </xf>
    <xf fontId="4" fillId="0" borderId="1" xfId="0">
      <alignment vertical="center"/>
    </xf>
    <xf fontId="5" fillId="0" borderId="1" xfId="0">
      <alignment vertical="center"/>
    </xf>
    <xf fontId="0" fillId="0" borderId="1" xfId="0">
      <alignment vertical="center" wrapText="true"/>
    </xf>
    <xf fontId="0" fillId="0" borderId="1" xfId="0">
      <alignment horizontal="right" vertical="center"/>
    </xf>
    <xf fontId="0" fillId="0" borderId="1" xfId="0">
      <alignment/>
    </xf>
    <xf fontId="6" fillId="0" borderId="1" xfId="0">
      <alignment vertical="center"/>
    </xf>
    <xf fontId="7" fillId="0" borderId="1" xfId="0">
      <alignment vertical="center"/>
    </xf>
    <xf fontId="4" fillId="0" borderId="3" xfId="0">
      <alignment vertical="center"/>
    </xf>
    <xf fontId="0" fillId="0" borderId="7" xfId="0">
      <alignment horizontal="right" vertical="center"/>
    </xf>
    <xf fontId="0" fillId="0" borderId="8" xfId="0">
      <alignment vertical="center"/>
    </xf>
    <xf fontId="3" fillId="2" borderId="9" xfId="0">
      <alignment horizontal="center" vertical="bottom"/>
    </xf>
    <xf fontId="0" fillId="0" borderId="0" xfId="0">
      <alignment vertical="center" wrapText="true"/>
    </xf>
    <xf numFmtId="300" fontId="4" fillId="0" borderId="0" xfId="0">
      <alignment vertical="center"/>
    </xf>
    <xf fontId="0" fillId="0" borderId="10" xfId="0">
      <alignment vertical="center" wrapText="true"/>
    </xf>
    <xf fontId="0" fillId="0" borderId="11" xfId="0">
      <alignment vertical="center"/>
    </xf>
    <xf fontId="0" fillId="0" borderId="12" xfId="0">
      <alignment vertical="center"/>
    </xf>
    <xf fontId="0" fillId="0" borderId="13" xfId="0">
      <alignment vertical="center"/>
    </xf>
    <xf fontId="0" fillId="0" borderId="14" xfId="0">
      <alignment vertical="center" wrapText="true"/>
    </xf>
    <xf fontId="0" fillId="0" borderId="15" xfId="0">
      <alignment vertical="center" wrapText="true"/>
    </xf>
    <xf fontId="0" fillId="0" borderId="16" xfId="0">
      <alignment vertical="center"/>
    </xf>
    <xf fontId="0" fillId="0" borderId="17" xfId="0">
      <alignment vertical="center"/>
    </xf>
    <xf fontId="0" fillId="0" borderId="3" xfId="0">
      <alignment horizontal="right" vertical="center"/>
    </xf>
    <xf fontId="0" fillId="0" borderId="1" xfId="0">
      <alignment horizontal="center" vertical="center"/>
    </xf>
    <xf fontId="0" fillId="0" borderId="1" xfId="0">
      <alignment vertical="center" wrapText="false"/>
    </xf>
    <xf fontId="0" fillId="0" borderId="18" xfId="0">
      <alignment vertical="center"/>
    </xf>
    <xf fontId="0" fillId="0" borderId="19" xfId="0">
      <alignment vertical="center"/>
    </xf>
    <xf fontId="4" fillId="0" borderId="1" xfId="0">
      <alignment horizontal="right" vertical="center"/>
    </xf>
    <xf fontId="8" fillId="0" borderId="1" xfId="0">
      <alignment horizontal="right" vertical="center"/>
    </xf>
    <xf fontId="5" fillId="0" borderId="1" xfId="0">
      <alignment horizontal="right" vertical="center"/>
    </xf>
    <xf fontId="0" fillId="0" borderId="20" xfId="0">
      <alignment vertical="center"/>
    </xf>
    <xf fontId="0" fillId="0" borderId="7" xfId="0">
      <alignment vertical="center"/>
    </xf>
    <xf fontId="6" fillId="0" borderId="7" xfId="0">
      <alignment vertical="center"/>
    </xf>
    <xf fontId="0" fillId="0" borderId="21" xfId="0">
      <alignment vertical="center"/>
    </xf>
    <xf fontId="6" fillId="0" borderId="3" xfId="0">
      <alignment vertical="center"/>
    </xf>
    <xf fontId="6" fillId="0" borderId="22" xfId="0">
      <alignment vertical="center"/>
    </xf>
    <xf fontId="0" fillId="0" borderId="22" xfId="0">
      <alignment vertical="center"/>
    </xf>
    <xf fontId="0" fillId="0" borderId="18" xfId="0">
      <alignment horizontal="right"/>
    </xf>
    <xf fontId="5" fillId="0" borderId="3" xfId="0">
      <alignment horizontal="right" vertical="center"/>
    </xf>
    <xf fontId="5" fillId="0" borderId="3" xfId="0">
      <alignment vertical="center"/>
    </xf>
    <xf fontId="0" fillId="0" borderId="23" xfId="0">
      <alignment vertical="center"/>
    </xf>
    <xf fontId="0" fillId="0" borderId="22" xfId="0">
      <alignment horizontal="right"/>
    </xf>
    <xf fontId="0" fillId="0" borderId="22" xfId="0">
      <alignment horizontal="center"/>
    </xf>
    <xf fontId="6" fillId="0" borderId="1" xfId="0">
      <alignment horizontal="left" vertical="center"/>
    </xf>
    <xf fontId="3" fillId="4" borderId="1" xfId="0">
      <alignment horizontal="center" vertical="bottom"/>
    </xf>
    <xf fontId="3" fillId="4" borderId="1" xfId="0">
      <alignment vertical="bottom"/>
    </xf>
    <xf fontId="3" fillId="5" borderId="1" xfId="0">
      <alignment horizontal="center" vertical="bottom"/>
    </xf>
    <xf fontId="3" fillId="4" borderId="1" xfId="0">
      <alignment horizontal="center" vertical="center"/>
    </xf>
    <xf fontId="0" fillId="6" borderId="1" xfId="0">
      <alignment vertical="center"/>
    </xf>
    <xf fontId="0" fillId="6" borderId="1" xfId="0">
      <alignment horizontal="right" vertical="center"/>
    </xf>
    <xf fontId="9" fillId="6" borderId="3" xfId="0">
      <alignment vertical="center" wrapText="true"/>
    </xf>
    <xf fontId="0" fillId="0" borderId="24" xfId="0">
      <alignment vertical="center"/>
    </xf>
    <xf fontId="0" fillId="7" borderId="1" xfId="0">
      <alignment vertical="center"/>
    </xf>
    <xf fontId="0" fillId="7" borderId="1" xfId="0">
      <alignment horizontal="right" vertical="center"/>
    </xf>
    <xf fontId="0" fillId="8" borderId="1" xfId="0">
      <alignment vertical="center"/>
    </xf>
    <xf fontId="0" fillId="8" borderId="1" xfId="0">
      <alignment horizontal="right" vertical="center"/>
    </xf>
    <xf fontId="0" fillId="8" borderId="3" xfId="0">
      <alignment vertical="center"/>
    </xf>
    <xf fontId="0" fillId="8" borderId="3" xfId="0">
      <alignment horizontal="right" vertical="center"/>
    </xf>
    <xf fontId="0" fillId="0" borderId="25" xfId="0">
      <alignment vertical="center"/>
    </xf>
    <xf fontId="0" fillId="9" borderId="1" xfId="0">
      <alignment vertical="center" wrapText="true"/>
    </xf>
    <xf fontId="0" fillId="9" borderId="1" xfId="0">
      <alignment vertical="center"/>
    </xf>
    <xf fontId="0" fillId="9" borderId="3" xfId="0">
      <alignment horizontal="right" vertical="center"/>
    </xf>
    <xf fontId="0" fillId="9" borderId="26" xfId="0">
      <alignment horizontal="right" vertical="center"/>
    </xf>
    <xf fontId="0" fillId="9" borderId="1" xfId="0">
      <alignment horizontal="right" vertical="center"/>
    </xf>
    <xf fontId="0" fillId="9" borderId="3" xfId="0">
      <alignment vertical="center"/>
    </xf>
    <xf fontId="9" fillId="9" borderId="26" xfId="0">
      <alignment vertical="center" wrapText="true"/>
    </xf>
    <xf fontId="0" fillId="0" borderId="27" xfId="0">
      <alignment vertical="center"/>
    </xf>
    <xf fontId="0" fillId="0" borderId="28" xfId="0">
      <alignment vertical="center"/>
    </xf>
    <xf fontId="0" fillId="10" borderId="29" xfId="0">
      <alignment vertical="center"/>
    </xf>
    <xf fontId="0" fillId="11" borderId="29" xfId="0">
      <alignment horizontal="right" vertical="center"/>
    </xf>
    <xf fontId="0" fillId="11" borderId="29" xfId="0">
      <alignment vertical="center"/>
    </xf>
    <xf fontId="8" fillId="0" borderId="1" xfId="0">
      <alignment vertical="center"/>
    </xf>
    <xf fontId="10" fillId="4" borderId="1" xfId="0">
      <alignment vertical="center"/>
    </xf>
    <xf fontId="3" fillId="5" borderId="1" xfId="0">
      <alignment horizontal="center" vertical="center"/>
    </xf>
    <xf fontId="0" fillId="12" borderId="3" xfId="0">
      <alignment vertical="center"/>
    </xf>
    <xf fontId="0" fillId="12" borderId="3" xfId="0">
      <alignment vertical="center" wrapText="true"/>
    </xf>
    <xf fontId="0" fillId="12" borderId="30" xfId="0">
      <alignment vertical="center" wrapText="true"/>
    </xf>
    <xf fontId="0" fillId="12" borderId="1" xfId="0">
      <alignment vertical="center"/>
    </xf>
    <xf fontId="0" fillId="12" borderId="23" xfId="0">
      <alignment horizontal="right" vertical="center"/>
    </xf>
    <xf numFmtId="300" fontId="0" fillId="12" borderId="1" xfId="0">
      <alignment vertical="center"/>
    </xf>
    <xf fontId="11" fillId="12" borderId="3" xfId="0">
      <alignment vertical="center" wrapText="true"/>
    </xf>
    <xf fontId="9" fillId="12" borderId="3" xfId="0">
      <alignment vertical="center" wrapText="true"/>
    </xf>
    <xf fontId="0" fillId="12" borderId="31" xfId="0">
      <alignment vertical="center"/>
    </xf>
    <xf fontId="0" fillId="13" borderId="31" xfId="0">
      <alignment vertical="center" wrapText="true"/>
    </xf>
    <xf fontId="0" fillId="12" borderId="31" xfId="0">
      <alignment vertical="center" wrapText="true"/>
    </xf>
    <xf fontId="0" fillId="14" borderId="14" xfId="0">
      <alignment vertical="center" wrapText="true"/>
    </xf>
    <xf fontId="0" fillId="0" borderId="32" xfId="0">
      <alignment vertical="center"/>
    </xf>
    <xf fontId="0" fillId="0" borderId="33" xfId="0">
      <alignment vertical="center"/>
    </xf>
    <xf fontId="0" fillId="0" borderId="34" xfId="0">
      <alignment vertical="center"/>
    </xf>
    <xf fontId="3" fillId="4" borderId="19" xfId="0">
      <alignment horizontal="center" vertical="bottom"/>
    </xf>
    <xf fontId="0" fillId="0" borderId="35" xfId="0">
      <alignment vertical="center"/>
    </xf>
    <xf fontId="0" fillId="6" borderId="3" xfId="0">
      <alignment vertical="center"/>
    </xf>
    <xf fontId="0" fillId="6" borderId="19" xfId="0">
      <alignment horizontal="center" vertical="center"/>
    </xf>
    <xf fontId="0" fillId="6" borderId="19" xfId="0">
      <alignment vertical="center"/>
    </xf>
    <xf fontId="0" fillId="6" borderId="3" xfId="0">
      <alignment vertical="center" wrapText="true"/>
    </xf>
    <xf fontId="12" fillId="6" borderId="19" xfId="0">
      <alignment horizontal="center" vertical="center"/>
    </xf>
    <xf fontId="0" fillId="0" borderId="36" xfId="0">
      <alignment vertical="center"/>
    </xf>
    <xf fontId="0" fillId="0" borderId="37" xfId="0">
      <alignment vertical="center"/>
    </xf>
    <xf fontId="0" fillId="0" borderId="38" xfId="0">
      <alignment vertical="center"/>
    </xf>
    <xf fontId="0" fillId="15" borderId="1" xfId="0">
      <alignment vertical="center"/>
    </xf>
    <xf fontId="0" fillId="14" borderId="22" xfId="0">
      <alignment vertical="center"/>
    </xf>
    <xf fontId="0" fillId="14" borderId="3" xfId="0">
      <alignment vertical="center"/>
    </xf>
    <xf fontId="0" fillId="14" borderId="30" xfId="0">
      <alignment horizontal="center" vertical="center"/>
    </xf>
    <xf fontId="0" fillId="14" borderId="8" xfId="0">
      <alignment horizontal="center" vertical="center"/>
    </xf>
    <xf fontId="0" fillId="14" borderId="30" xfId="0">
      <alignment vertical="center"/>
    </xf>
    <xf fontId="0" fillId="14" borderId="23" xfId="0">
      <alignment vertical="center"/>
    </xf>
    <xf fontId="0" fillId="14" borderId="1" xfId="0">
      <alignment vertical="center"/>
    </xf>
    <xf fontId="0" fillId="13" borderId="22" xfId="0">
      <alignment vertical="center" wrapText="true"/>
    </xf>
    <xf fontId="7" fillId="13" borderId="22" xfId="0">
      <alignment vertical="center" wrapText="true"/>
    </xf>
    <xf fontId="3" fillId="16" borderId="3" xfId="0">
      <alignment horizontal="center" vertical="bottom"/>
    </xf>
    <xf fontId="3" fillId="16" borderId="3" xfId="0">
      <alignment vertical="bottom"/>
    </xf>
    <xf fontId="3" fillId="16" borderId="30" xfId="0">
      <alignment horizontal="center" vertical="bottom"/>
    </xf>
    <xf fontId="3" fillId="16" borderId="1" xfId="0">
      <alignment horizontal="center" vertical="center"/>
    </xf>
    <xf fontId="3" fillId="16" borderId="23" xfId="0">
      <alignment horizontal="center" vertical="center"/>
    </xf>
    <xf fontId="10" fillId="16" borderId="1" xfId="0">
      <alignment horizontal="center" vertical="center"/>
    </xf>
    <xf fontId="3" fillId="16" borderId="3" xfId="0">
      <alignment horizontal="center" vertical="center"/>
    </xf>
    <xf fontId="3" fillId="17" borderId="1" xfId="0">
      <alignment horizontal="center" vertical="center"/>
    </xf>
    <xf fontId="3" fillId="16" borderId="35" xfId="0">
      <alignment horizontal="center" vertical="center"/>
    </xf>
    <xf fontId="10" fillId="4" borderId="1" xfId="0">
      <alignment horizontal="center" vertical="center"/>
    </xf>
    <xf fontId="0" fillId="9" borderId="19" xfId="0">
      <alignment vertical="center"/>
    </xf>
    <xf fontId="0" fillId="9" borderId="1" xfId="0">
      <alignment horizontal="center" vertical="center"/>
    </xf>
    <xf numFmtId="300" fontId="0" fillId="9" borderId="23" xfId="0">
      <alignment horizontal="center" vertical="center"/>
    </xf>
    <xf fontId="0" fillId="9" borderId="3" xfId="0">
      <alignment vertical="center" wrapText="true"/>
    </xf>
    <xf fontId="9" fillId="18" borderId="3" xfId="0">
      <alignment vertical="center" wrapText="true"/>
    </xf>
    <xf fontId="0" fillId="9" borderId="19" xfId="0">
      <alignment vertical="center" wrapText="true"/>
    </xf>
    <xf fontId="0" fillId="9" borderId="22" xfId="0">
      <alignment vertical="center"/>
    </xf>
    <xf fontId="0" fillId="9" borderId="22" xfId="0">
      <alignment horizontal="center" vertical="center"/>
    </xf>
    <xf numFmtId="300" fontId="0" fillId="9" borderId="1" xfId="0">
      <alignment horizontal="center" vertical="center"/>
    </xf>
    <xf fontId="0" fillId="19" borderId="22" xfId="0">
      <alignment horizontal="center" vertical="center"/>
    </xf>
    <xf fontId="0" fillId="18" borderId="3" xfId="0">
      <alignment vertical="center" wrapText="true"/>
    </xf>
    <xf numFmtId="0" fontId="3" fillId="16" borderId="39" xfId="0">
      <alignment horizontal="center" vertical="center"/>
    </xf>
    <xf fontId="0" fillId="0" borderId="39" xfId="0">
      <alignment vertical="center"/>
    </xf>
    <xf fontId="0" fillId="0" borderId="40" xfId="0">
      <alignment vertical="center"/>
    </xf>
    <xf fontId="0" fillId="0" borderId="41" xfId="0">
      <alignment vertical="center"/>
    </xf>
    <xf fontId="0" fillId="0" borderId="42" xfId="0">
      <alignment vertical="center"/>
    </xf>
    <xf numFmtId="300" fontId="0" fillId="9" borderId="30" xfId="0">
      <alignment vertical="center" wrapText="true"/>
    </xf>
    <xf fontId="9" fillId="9" borderId="30" xfId="0">
      <alignment vertical="center" wrapText="true"/>
    </xf>
    <xf fontId="0" fillId="0" borderId="43" xfId="0">
      <alignment vertical="center"/>
    </xf>
    <xf fontId="0" fillId="0" borderId="44" xfId="0">
      <alignment vertical="center"/>
    </xf>
    <xf fontId="3" fillId="16" borderId="7" xfId="0">
      <alignment horizontal="center" vertical="center"/>
    </xf>
    <xf fontId="7" fillId="20" borderId="18" xfId="0">
      <alignment vertical="center"/>
    </xf>
    <xf fontId="0" fillId="0" borderId="45" xfId="0">
      <alignment vertical="center"/>
    </xf>
    <xf fontId="0" fillId="18" borderId="1" xfId="0">
      <alignment vertical="center"/>
    </xf>
    <xf fontId="0" fillId="9" borderId="46" xfId="0">
      <alignment vertical="center" wrapText="true"/>
    </xf>
    <xf fontId="9" fillId="9" borderId="46" xfId="0">
      <alignment vertical="center" wrapText="true"/>
    </xf>
    <xf numFmtId="300" fontId="0" fillId="9" borderId="1" xfId="0">
      <alignment vertical="center"/>
    </xf>
    <xf fontId="0" fillId="9" borderId="47" xfId="0">
      <alignment vertical="center"/>
    </xf>
    <xf fontId="0" fillId="9" borderId="48" xfId="0">
      <alignment vertical="center"/>
    </xf>
    <xf fontId="0" fillId="9" borderId="49" xfId="0">
      <alignment vertical="center"/>
    </xf>
    <xf fontId="0" fillId="4" borderId="3" xfId="0">
      <alignment vertical="center"/>
    </xf>
    <xf fontId="0" fillId="4" borderId="30" xfId="0">
      <alignment vertical="center"/>
    </xf>
    <xf fontId="0" fillId="0" borderId="50" xfId="0">
      <alignment vertical="center"/>
    </xf>
    <xf fontId="0" fillId="0" borderId="51" xfId="0">
      <alignment vertical="center"/>
    </xf>
    <xf fontId="0" fillId="21" borderId="1" xfId="0">
      <alignment vertical="center"/>
    </xf>
    <xf numFmtId="300" fontId="0" fillId="21" borderId="1" xfId="0">
      <alignment vertical="center"/>
    </xf>
    <xf fontId="0" fillId="21" borderId="1" xfId="0">
      <alignment vertical="center" wrapText="true"/>
    </xf>
    <xf fontId="0" fillId="21" borderId="19" xfId="0">
      <alignment vertical="center"/>
    </xf>
    <xf fontId="3" fillId="2" borderId="1" xfId="0">
      <alignment horizontal="center" vertical="bottom" wrapText="true"/>
    </xf>
    <xf fontId="3" fillId="22" borderId="1" xfId="0">
      <alignment horizontal="center" vertical="bottom"/>
    </xf>
    <xf numFmtId="301" fontId="13" fillId="11" borderId="1" xfId="0">
      <alignment horizontal="center" vertical="center" wrapText="true"/>
    </xf>
    <xf fontId="13" fillId="11" borderId="1" xfId="0">
      <alignment vertical="center"/>
    </xf>
    <xf fontId="13" fillId="11" borderId="1" xfId="0">
      <alignment horizontal="center" vertical="center"/>
    </xf>
    <xf numFmtId="302" fontId="13" fillId="11" borderId="1" xfId="0">
      <alignment horizontal="center" vertical="center" wrapText="true"/>
    </xf>
    <xf numFmtId="14" fontId="13" fillId="11" borderId="1" xfId="0">
      <alignment horizontal="center" vertical="center"/>
    </xf>
    <xf numFmtId="300" fontId="13" fillId="11" borderId="1" xfId="0">
      <alignment vertical="center"/>
    </xf>
    <xf fontId="13" fillId="10" borderId="1" xfId="0">
      <alignment vertical="center"/>
    </xf>
    <xf fontId="0" fillId="13" borderId="0" xfId="0">
      <alignment vertical="center"/>
    </xf>
    <xf fontId="0" fillId="12" borderId="0" xfId="0">
      <alignment vertical="center"/>
    </xf>
    <xf fontId="0" fillId="7" borderId="0" xfId="0">
      <alignment vertical="center"/>
    </xf>
    <xf fontId="0" fillId="23" borderId="0" xfId="0">
      <alignment vertical="center"/>
    </xf>
    <xf fontId="0" fillId="24" borderId="0" xfId="0">
      <alignment vertical="center"/>
    </xf>
    <xf fontId="0" fillId="25" borderId="0" xfId="0">
      <alignment vertical="center"/>
    </xf>
    <xf fontId="0" fillId="21"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12" Type="http://schemas.openxmlformats.org/officeDocument/2006/relationships/worksheet" Target="worksheets/sheet10.xml" /><Relationship Id="rId0" Type="http://schemas.openxmlformats.org/officeDocument/2006/relationships/sharedStrings" Target="sharedStrings.xml" /><Relationship Id="rId13" Type="http://schemas.openxmlformats.org/officeDocument/2006/relationships/worksheet" Target="worksheets/sheet11.xml" /><Relationship Id="rId10" Type="http://schemas.openxmlformats.org/officeDocument/2006/relationships/worksheet" Target="worksheets/sheet8.xml" /><Relationship Id="rId11" Type="http://schemas.openxmlformats.org/officeDocument/2006/relationships/worksheet" Target="worksheets/sheet9.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DISCLAIMER">
    <tabColor/>
  </sheetPr>
  <dimension ref="B10"/>
  <sheetViews>
    <sheetView showGridLines="true" rightToLeft="false" workbookViewId="0"/>
  </sheetViews>
  <sheetFormatPr baseColWidth="13" defaultRowHeight="18" customHeight="true"/>
  <cols>
    <col min="2" max="2" width="71.2227" customWidth="true"/>
  </cols>
  <sheetData>
    <row r="2" spans="2:2">
      <c r="B2" t="s">
        <v>369</v>
      </c>
    </row>
    <row r="3" spans="2:2">
      <c r="B3" t="s">
        <v>370</v>
      </c>
    </row>
    <row r="4" spans="2:2">
      <c r="B4" t="s">
        <v>371</v>
      </c>
    </row>
    <row r="5" spans="2:2">
      <c r="B5" t="s">
        <v>372</v>
      </c>
    </row>
    <row r="6" spans="2:2">
      <c r="B6" t="s">
        <v>373</v>
      </c>
    </row>
    <row r="7" spans="2:2">
      <c r="B7" t="s">
        <v>374</v>
      </c>
    </row>
    <row r="8" spans="2:2">
      <c r="B8" t="s">
        <v>375</v>
      </c>
    </row>
    <row r="9" spans="2:2">
      <c r="B9" t="s">
        <v>376</v>
      </c>
    </row>
    <row r="10" spans="2:2">
      <c r="B10" t="s">
        <v>377</v>
      </c>
    </row>
  </sheetData>
</worksheet>
</file>

<file path=xl/worksheets/sheet2.xml><?xml version="1.0" encoding="utf-8"?>
<worksheet xmlns="http://schemas.openxmlformats.org/spreadsheetml/2006/main">
  <sheetPr codeName="CNDLC-CNTXG">
    <tabColor/>
  </sheetPr>
  <dimension ref="U35"/>
  <sheetViews>
    <sheetView showGridLines="true" workbookViewId="0">
      <pane ySplit="2" topLeftCell="A3" state="frozen"/>
    </sheetView>
  </sheetViews>
  <sheetFormatPr baseColWidth="13" defaultRowHeight="18" customHeight="true"/>
  <cols>
    <col min="1" max="1" width="9.84375" customWidth="true"/>
    <col min="2" max="2" width="13.6211" customWidth="true"/>
    <col min="3" max="4" width="13.7109" customWidth="true"/>
    <col min="5" max="18" width="9.30078" customWidth="true"/>
    <col min="19" max="19" width="23.6016" customWidth="true"/>
    <col min="20" max="20" width="13.7109" customWidth="true"/>
    <col min="21" max="21" width="26.4336" customWidth="true"/>
  </cols>
  <sheetData>
    <row r="1" spans="1:21">
      <c r="A1" s="4" t="s">
        <v>1</v>
      </c>
      <c r="B1" s="5" t="s">
        <v>2</v>
      </c>
      <c r="C1" s="5" t="s">
        <v>3</v>
      </c>
      <c r="D1" s="5" t="s">
        <v>4</v>
      </c>
      <c r="E1" s="5" t="s">
        <v>5</v>
      </c>
      <c r="F1" s="6" t="s"/>
      <c r="G1" s="5" t="s">
        <v>6</v>
      </c>
      <c r="H1" s="6" t="s"/>
      <c r="I1" s="5" t="s">
        <v>7</v>
      </c>
      <c r="J1" s="6" t="s"/>
      <c r="K1" s="5" t="s">
        <v>8</v>
      </c>
      <c r="L1" s="6" t="s"/>
      <c r="M1" s="5" t="s">
        <v>9</v>
      </c>
      <c r="N1" s="6" t="s"/>
      <c r="O1" s="5" t="s">
        <v>10</v>
      </c>
      <c r="P1" s="6" t="s"/>
      <c r="Q1" s="5" t="s">
        <v>11</v>
      </c>
      <c r="R1" s="6" t="s"/>
      <c r="S1" s="5" t="s">
        <v>12</v>
      </c>
      <c r="T1" s="5" t="s">
        <v>13</v>
      </c>
      <c r="U1" s="5" t="s">
        <v>14</v>
      </c>
    </row>
    <row r="2" spans="1:21">
      <c r="A2" s="7" t="s"/>
      <c r="B2" s="8" t="s"/>
      <c r="C2" s="8" t="s"/>
      <c r="D2" s="8" t="s"/>
      <c r="E2" s="9" t="s">
        <v>15</v>
      </c>
      <c r="F2" s="9" t="s">
        <v>16</v>
      </c>
      <c r="G2" s="9" t="s">
        <v>15</v>
      </c>
      <c r="H2" s="9" t="s">
        <v>16</v>
      </c>
      <c r="I2" s="9" t="s">
        <v>15</v>
      </c>
      <c r="J2" s="9" t="s">
        <v>16</v>
      </c>
      <c r="K2" s="9" t="s">
        <v>15</v>
      </c>
      <c r="L2" s="9" t="s">
        <v>16</v>
      </c>
      <c r="M2" s="9" t="s">
        <v>15</v>
      </c>
      <c r="N2" s="9" t="s">
        <v>16</v>
      </c>
      <c r="O2" s="9" t="s">
        <v>15</v>
      </c>
      <c r="P2" s="9" t="s">
        <v>16</v>
      </c>
      <c r="Q2" s="9" t="s">
        <v>15</v>
      </c>
      <c r="R2" s="9" t="s">
        <v>16</v>
      </c>
      <c r="S2" s="8" t="s"/>
      <c r="T2" s="8" t="s"/>
      <c r="U2" s="8" t="s"/>
    </row>
    <row r="3" spans="1:21" ht="18" customHeight="true">
      <c r="A3" s="10" t="s">
        <v>96</v>
      </c>
      <c r="B3" s="10" t="s">
        <v>29</v>
      </c>
      <c r="C3" s="10" t="s">
        <v>35</v>
      </c>
      <c r="D3" s="10" t="s">
        <v>20</v>
      </c>
      <c r="E3" s="10">
        <v>850</v>
      </c>
      <c r="F3" s="10">
        <v>900</v>
      </c>
      <c r="G3" s="10">
        <v>1250</v>
      </c>
      <c r="H3" s="10">
        <v>1700</v>
      </c>
      <c r="I3" s="10">
        <v>1550</v>
      </c>
      <c r="J3" s="10">
        <v>2100</v>
      </c>
      <c r="K3" s="10">
        <v>1450</v>
      </c>
      <c r="L3" s="10">
        <v>2100</v>
      </c>
      <c r="M3" s="10">
        <v>1400</v>
      </c>
      <c r="N3" s="10">
        <v>1900</v>
      </c>
      <c r="O3" s="10">
        <v>1450</v>
      </c>
      <c r="P3" s="10">
        <v>2100</v>
      </c>
      <c r="Q3" s="26" t="s">
        <v>21</v>
      </c>
      <c r="R3" s="27" t="s"/>
      <c r="S3" s="13" t="s">
        <v>97</v>
      </c>
      <c r="T3" s="10" t="s">
        <v>23</v>
      </c>
      <c r="U3" s="10" t="s">
        <v>98</v>
      </c>
    </row>
    <row r="4" spans="1:21">
      <c r="A4" s="10" t="s">
        <v>96</v>
      </c>
      <c r="B4" s="10" t="s">
        <v>18</v>
      </c>
      <c r="C4" s="10" t="s">
        <v>47</v>
      </c>
      <c r="D4" s="10" t="s">
        <v>20</v>
      </c>
      <c r="E4" s="10">
        <v>950</v>
      </c>
      <c r="F4" s="10">
        <v>1000</v>
      </c>
      <c r="G4" s="10">
        <v>1350</v>
      </c>
      <c r="H4" s="10">
        <v>1800</v>
      </c>
      <c r="I4" s="10">
        <v>1650</v>
      </c>
      <c r="J4" s="10">
        <v>2200</v>
      </c>
      <c r="K4" s="10">
        <v>1550</v>
      </c>
      <c r="L4" s="10">
        <v>2200</v>
      </c>
      <c r="M4" s="10">
        <v>1500</v>
      </c>
      <c r="N4" s="10">
        <v>2000</v>
      </c>
      <c r="O4" s="10">
        <v>1550</v>
      </c>
      <c r="P4" s="10">
        <v>2200</v>
      </c>
      <c r="Q4" s="28" t="s"/>
      <c r="R4" s="29" t="s"/>
      <c r="S4" s="13" t="s">
        <v>83</v>
      </c>
      <c r="T4" s="10" t="s">
        <v>23</v>
      </c>
      <c r="U4" s="10" t="s">
        <v>98</v>
      </c>
    </row>
    <row r="5" spans="1:21">
      <c r="A5" s="10" t="s">
        <v>96</v>
      </c>
      <c r="B5" s="10" t="s">
        <v>37</v>
      </c>
      <c r="C5" s="10" t="s">
        <v>99</v>
      </c>
      <c r="D5" s="10" t="s">
        <v>86</v>
      </c>
      <c r="E5" s="10">
        <v>800</v>
      </c>
      <c r="F5" s="10">
        <v>950</v>
      </c>
      <c r="G5" s="10">
        <v>1100</v>
      </c>
      <c r="H5" s="10">
        <v>1300</v>
      </c>
      <c r="I5" s="10">
        <v>1500</v>
      </c>
      <c r="J5" s="10">
        <v>2150</v>
      </c>
      <c r="K5" s="10">
        <v>1400</v>
      </c>
      <c r="L5" s="10">
        <v>2150</v>
      </c>
      <c r="M5" s="10">
        <v>1350</v>
      </c>
      <c r="N5" s="10">
        <v>1950</v>
      </c>
      <c r="O5" s="10">
        <v>1400</v>
      </c>
      <c r="P5" s="10">
        <v>2150</v>
      </c>
      <c r="Q5" s="28" t="s"/>
      <c r="R5" s="29" t="s"/>
      <c r="S5" s="10" t="s">
        <v>100</v>
      </c>
      <c r="T5" s="10" t="s">
        <v>23</v>
      </c>
      <c r="U5" s="10" t="s">
        <v>98</v>
      </c>
    </row>
    <row r="6" spans="1:21">
      <c r="A6" s="10" t="s">
        <v>96</v>
      </c>
      <c r="B6" s="10" t="s">
        <v>37</v>
      </c>
      <c r="C6" s="10" t="s">
        <v>101</v>
      </c>
      <c r="D6" s="10" t="s">
        <v>86</v>
      </c>
      <c r="E6" s="10">
        <v>900</v>
      </c>
      <c r="F6" s="10">
        <v>1000</v>
      </c>
      <c r="G6" s="10">
        <v>1300</v>
      </c>
      <c r="H6" s="10">
        <v>1800</v>
      </c>
      <c r="I6" s="10">
        <v>1600</v>
      </c>
      <c r="J6" s="10">
        <v>2200</v>
      </c>
      <c r="K6" s="10">
        <v>1500</v>
      </c>
      <c r="L6" s="10">
        <v>2200</v>
      </c>
      <c r="M6" s="10">
        <v>1450</v>
      </c>
      <c r="N6" s="10">
        <v>2000</v>
      </c>
      <c r="O6" s="10">
        <v>1500</v>
      </c>
      <c r="P6" s="10">
        <v>2100</v>
      </c>
      <c r="Q6" s="30" t="s"/>
      <c r="R6" s="31" t="s"/>
      <c r="S6" s="10" t="s">
        <v>100</v>
      </c>
      <c r="T6" s="10" t="s">
        <v>23</v>
      </c>
      <c r="U6" s="10" t="s">
        <v>98</v>
      </c>
    </row>
    <row r="7" spans="1:21">
      <c r="A7" s="10" t="s">
        <v>102</v>
      </c>
      <c r="B7" s="10" t="s">
        <v>29</v>
      </c>
      <c r="C7" s="10" t="s">
        <v>35</v>
      </c>
      <c r="D7" s="10" t="s">
        <v>20</v>
      </c>
      <c r="E7" s="10">
        <v>850</v>
      </c>
      <c r="F7" s="10">
        <v>900</v>
      </c>
      <c r="G7" s="10">
        <v>1250</v>
      </c>
      <c r="H7" s="10">
        <v>1700</v>
      </c>
      <c r="I7" s="10">
        <v>1550</v>
      </c>
      <c r="J7" s="10">
        <v>1900</v>
      </c>
      <c r="K7" s="10">
        <v>1450</v>
      </c>
      <c r="L7" s="10">
        <v>1900</v>
      </c>
      <c r="M7" s="10">
        <v>1400</v>
      </c>
      <c r="N7" s="10">
        <v>1900</v>
      </c>
      <c r="O7" s="10">
        <v>1450</v>
      </c>
      <c r="P7" s="10">
        <v>1900</v>
      </c>
      <c r="Q7" s="28" t="s"/>
      <c r="R7" s="29" t="s"/>
      <c r="S7" s="13" t="s">
        <v>103</v>
      </c>
      <c r="T7" s="10" t="s">
        <v>23</v>
      </c>
      <c r="U7" s="10" t="s">
        <v>98</v>
      </c>
    </row>
    <row r="8" spans="1:21">
      <c r="A8" s="10" t="s">
        <v>96</v>
      </c>
      <c r="B8" s="10" t="s">
        <v>18</v>
      </c>
      <c r="C8" s="10" t="s">
        <v>104</v>
      </c>
      <c r="D8" s="10" t="s">
        <v>105</v>
      </c>
      <c r="E8" s="10">
        <v>1055</v>
      </c>
      <c r="F8" s="10">
        <v>1460</v>
      </c>
      <c r="G8" s="10">
        <v>905</v>
      </c>
      <c r="H8" s="10">
        <v>1210</v>
      </c>
      <c r="I8" s="10">
        <v>1405</v>
      </c>
      <c r="J8" s="10">
        <v>2060</v>
      </c>
      <c r="K8" s="10">
        <v>1655</v>
      </c>
      <c r="L8" s="10">
        <v>2060</v>
      </c>
      <c r="M8" s="10">
        <v>1205</v>
      </c>
      <c r="N8" s="10">
        <v>2560</v>
      </c>
      <c r="O8" s="10">
        <v>1655</v>
      </c>
      <c r="P8" s="10">
        <v>2060</v>
      </c>
      <c r="Q8" s="30" t="s"/>
      <c r="R8" s="31" t="s"/>
      <c r="S8" s="13" t="s">
        <v>106</v>
      </c>
      <c r="T8" s="10" t="s">
        <v>23</v>
      </c>
      <c r="U8" s="10" t="s">
        <v>98</v>
      </c>
    </row>
    <row r="9" spans="1:21">
      <c r="A9" s="10" t="s">
        <v>102</v>
      </c>
      <c r="B9" s="10" t="s">
        <v>18</v>
      </c>
      <c r="C9" s="10" t="s">
        <v>104</v>
      </c>
      <c r="D9" s="10" t="s">
        <v>105</v>
      </c>
      <c r="E9" s="10">
        <v>1055</v>
      </c>
      <c r="F9" s="10">
        <v>1460</v>
      </c>
      <c r="G9" s="10">
        <v>905</v>
      </c>
      <c r="H9" s="10">
        <v>1210</v>
      </c>
      <c r="I9" s="10">
        <v>1405</v>
      </c>
      <c r="J9" s="10">
        <v>2060</v>
      </c>
      <c r="K9" s="10">
        <v>1655</v>
      </c>
      <c r="L9" s="10">
        <v>2060</v>
      </c>
      <c r="M9" s="10">
        <v>1205</v>
      </c>
      <c r="N9" s="10">
        <v>2560</v>
      </c>
      <c r="O9" s="10">
        <v>1655</v>
      </c>
      <c r="P9" s="10">
        <v>2060</v>
      </c>
      <c r="Q9" s="30" t="s"/>
      <c r="R9" s="31" t="s"/>
      <c r="S9" s="13" t="s">
        <v>106</v>
      </c>
      <c r="T9" s="10" t="s">
        <v>23</v>
      </c>
      <c r="U9" s="10" t="s">
        <v>98</v>
      </c>
    </row>
    <row r="10" spans="1:21">
      <c r="A10" s="10" t="s">
        <v>102</v>
      </c>
      <c r="B10" s="10" t="s">
        <v>18</v>
      </c>
      <c r="C10" s="10" t="s">
        <v>47</v>
      </c>
      <c r="D10" s="10" t="s">
        <v>20</v>
      </c>
      <c r="E10" s="10">
        <v>950</v>
      </c>
      <c r="F10" s="10">
        <v>1000</v>
      </c>
      <c r="G10" s="10">
        <v>1350</v>
      </c>
      <c r="H10" s="10">
        <v>1800</v>
      </c>
      <c r="I10" s="10">
        <v>1650</v>
      </c>
      <c r="J10" s="10">
        <v>2000</v>
      </c>
      <c r="K10" s="10">
        <v>1550</v>
      </c>
      <c r="L10" s="10">
        <v>2000</v>
      </c>
      <c r="M10" s="10">
        <v>1500</v>
      </c>
      <c r="N10" s="10">
        <v>2000</v>
      </c>
      <c r="O10" s="10">
        <v>1550</v>
      </c>
      <c r="P10" s="10">
        <v>2000</v>
      </c>
      <c r="Q10" s="28" t="s"/>
      <c r="R10" s="29" t="s"/>
      <c r="S10" s="13" t="s">
        <v>42</v>
      </c>
      <c r="T10" s="10" t="s">
        <v>23</v>
      </c>
      <c r="U10" s="10" t="s">
        <v>98</v>
      </c>
    </row>
    <row r="11" spans="1:21">
      <c r="A11" s="10" t="s">
        <v>102</v>
      </c>
      <c r="B11" s="10" t="s">
        <v>18</v>
      </c>
      <c r="C11" s="10" t="s">
        <v>107</v>
      </c>
      <c r="D11" s="10" t="s">
        <v>20</v>
      </c>
      <c r="E11" s="10">
        <v>750</v>
      </c>
      <c r="F11" s="10">
        <v>900</v>
      </c>
      <c r="G11" s="10">
        <v>1175</v>
      </c>
      <c r="H11" s="10">
        <v>1500</v>
      </c>
      <c r="I11" s="10">
        <v>1450</v>
      </c>
      <c r="J11" s="10">
        <v>1700</v>
      </c>
      <c r="K11" s="10">
        <v>1450</v>
      </c>
      <c r="L11" s="10">
        <v>1700</v>
      </c>
      <c r="M11" s="10">
        <v>1450</v>
      </c>
      <c r="N11" s="10">
        <v>1700</v>
      </c>
      <c r="O11" s="10">
        <v>1450</v>
      </c>
      <c r="P11" s="10">
        <v>1700</v>
      </c>
      <c r="Q11" s="30" t="s"/>
      <c r="R11" s="31" t="s"/>
      <c r="S11" s="13" t="s">
        <v>108</v>
      </c>
      <c r="T11" s="10" t="s">
        <v>23</v>
      </c>
      <c r="U11" s="10" t="s">
        <v>98</v>
      </c>
    </row>
    <row r="12" spans="1:21">
      <c r="A12" s="10" t="s">
        <v>102</v>
      </c>
      <c r="B12" s="10" t="s">
        <v>37</v>
      </c>
      <c r="C12" s="10" t="s">
        <v>99</v>
      </c>
      <c r="D12" s="10" t="s">
        <v>86</v>
      </c>
      <c r="E12" s="10">
        <v>850</v>
      </c>
      <c r="F12" s="10">
        <v>1050</v>
      </c>
      <c r="G12" s="10">
        <v>1200</v>
      </c>
      <c r="H12" s="10">
        <v>1400</v>
      </c>
      <c r="I12" s="10">
        <v>1600</v>
      </c>
      <c r="J12" s="10">
        <v>2250</v>
      </c>
      <c r="K12" s="10">
        <v>1500</v>
      </c>
      <c r="L12" s="10">
        <v>2250</v>
      </c>
      <c r="M12" s="10">
        <v>1450</v>
      </c>
      <c r="N12" s="10">
        <v>2050</v>
      </c>
      <c r="O12" s="10">
        <v>1500</v>
      </c>
      <c r="P12" s="10">
        <v>2250</v>
      </c>
      <c r="Q12" s="28" t="s"/>
      <c r="R12" s="29" t="s"/>
      <c r="S12" s="10" t="s">
        <v>109</v>
      </c>
      <c r="T12" s="10" t="s">
        <v>23</v>
      </c>
      <c r="U12" s="10" t="s">
        <v>98</v>
      </c>
    </row>
    <row r="13" spans="1:21">
      <c r="A13" s="10" t="s">
        <v>102</v>
      </c>
      <c r="B13" s="10" t="s">
        <v>18</v>
      </c>
      <c r="C13" s="10" t="s">
        <v>27</v>
      </c>
      <c r="D13" s="10" t="s">
        <v>20</v>
      </c>
      <c r="E13" s="10">
        <v>700</v>
      </c>
      <c r="F13" s="10">
        <v>800</v>
      </c>
      <c r="G13" s="10">
        <v>1050</v>
      </c>
      <c r="H13" s="10">
        <v>1000</v>
      </c>
      <c r="I13" s="10">
        <v>1350</v>
      </c>
      <c r="J13" s="10">
        <v>1600</v>
      </c>
      <c r="K13" s="10">
        <v>1300</v>
      </c>
      <c r="L13" s="10">
        <v>1800</v>
      </c>
      <c r="M13" s="10">
        <v>1250</v>
      </c>
      <c r="N13" s="10">
        <v>1700</v>
      </c>
      <c r="O13" s="10">
        <v>1300</v>
      </c>
      <c r="P13" s="10">
        <v>1800</v>
      </c>
      <c r="Q13" s="28" t="s"/>
      <c r="R13" s="29" t="s"/>
      <c r="S13" s="13" t="s">
        <v>76</v>
      </c>
      <c r="T13" s="10" t="s">
        <v>23</v>
      </c>
      <c r="U13" s="10" t="s">
        <v>98</v>
      </c>
    </row>
    <row r="14" spans="1:21">
      <c r="A14" s="10" t="s">
        <v>102</v>
      </c>
      <c r="B14" s="10" t="s">
        <v>18</v>
      </c>
      <c r="C14" s="10" t="s">
        <v>19</v>
      </c>
      <c r="D14" s="10" t="s">
        <v>20</v>
      </c>
      <c r="E14" s="10">
        <v>650</v>
      </c>
      <c r="F14" s="10">
        <v>800</v>
      </c>
      <c r="G14" s="10">
        <v>1050</v>
      </c>
      <c r="H14" s="10">
        <v>1600</v>
      </c>
      <c r="I14" s="10">
        <v>1350</v>
      </c>
      <c r="J14" s="11">
        <v>1400</v>
      </c>
      <c r="K14" s="10">
        <v>1250</v>
      </c>
      <c r="L14" s="10">
        <v>1800</v>
      </c>
      <c r="M14" s="10">
        <v>1200</v>
      </c>
      <c r="N14" s="10">
        <v>1800</v>
      </c>
      <c r="O14" s="10">
        <v>1250</v>
      </c>
      <c r="P14" s="10">
        <v>1800</v>
      </c>
      <c r="Q14" s="28" t="s"/>
      <c r="R14" s="29" t="s"/>
      <c r="S14" s="13" t="s">
        <v>76</v>
      </c>
      <c r="T14" s="10" t="s">
        <v>23</v>
      </c>
      <c r="U14" s="10" t="s">
        <v>98</v>
      </c>
    </row>
    <row r="15" spans="1:21">
      <c r="A15" s="10" t="s">
        <v>96</v>
      </c>
      <c r="B15" s="10" t="s">
        <v>18</v>
      </c>
      <c r="C15" s="10" t="s">
        <v>47</v>
      </c>
      <c r="D15" s="10" t="s">
        <v>20</v>
      </c>
      <c r="E15" s="10">
        <f>=E4+300</f>
        <v>1250</v>
      </c>
      <c r="F15" s="10">
        <f>=F4+800</f>
        <v>1800</v>
      </c>
      <c r="G15" s="10">
        <f>=G4+600</f>
        <v>1950</v>
      </c>
      <c r="H15" s="10">
        <f>=H4+800</f>
        <v>2600</v>
      </c>
      <c r="I15" s="10">
        <f>=I4+600</f>
        <v>2250</v>
      </c>
      <c r="J15" s="10">
        <f>=J4+800</f>
        <v>3000</v>
      </c>
      <c r="K15" s="10">
        <f>=K4+600</f>
        <v>2150</v>
      </c>
      <c r="L15" s="10">
        <f>=L4+800</f>
        <v>3000</v>
      </c>
      <c r="M15" s="10">
        <f>=M4+600</f>
        <v>2100</v>
      </c>
      <c r="N15" s="10">
        <f>=N4+800</f>
        <v>2800</v>
      </c>
      <c r="O15" s="10">
        <f>=O4+600</f>
        <v>2150</v>
      </c>
      <c r="P15" s="10">
        <f>=P4+800</f>
        <v>3000</v>
      </c>
      <c r="Q15" s="28" t="s"/>
      <c r="R15" s="29" t="s"/>
      <c r="S15" s="13" t="s">
        <v>83</v>
      </c>
      <c r="T15" s="10" t="s">
        <v>23</v>
      </c>
      <c r="U15" s="10" t="s">
        <v>110</v>
      </c>
    </row>
    <row r="16" spans="1:21">
      <c r="A16" s="10" t="s">
        <v>96</v>
      </c>
      <c r="B16" s="10" t="s">
        <v>18</v>
      </c>
      <c r="C16" s="10" t="s">
        <v>47</v>
      </c>
      <c r="D16" s="10" t="s">
        <v>20</v>
      </c>
      <c r="E16" s="10">
        <f>=E4+700</f>
        <v>1650</v>
      </c>
      <c r="F16" s="10">
        <f>=F5+900</f>
        <v>1850</v>
      </c>
      <c r="G16" s="10">
        <f>=G4+700</f>
        <v>2050</v>
      </c>
      <c r="H16" s="10">
        <f>=H5+900</f>
        <v>2200</v>
      </c>
      <c r="I16" s="10">
        <f>=I4+700</f>
        <v>2350</v>
      </c>
      <c r="J16" s="10">
        <f>=J5+900</f>
        <v>3050</v>
      </c>
      <c r="K16" s="10">
        <f>=K4+700</f>
        <v>2250</v>
      </c>
      <c r="L16" s="10">
        <f>=L5+900</f>
        <v>3050</v>
      </c>
      <c r="M16" s="10">
        <f>=M4+700</f>
        <v>2200</v>
      </c>
      <c r="N16" s="10">
        <f>=N5+900</f>
        <v>2850</v>
      </c>
      <c r="O16" s="10">
        <f>=O4+700</f>
        <v>2250</v>
      </c>
      <c r="P16" s="10">
        <f>=P5+900</f>
        <v>3050</v>
      </c>
      <c r="Q16" s="30" t="s"/>
      <c r="R16" s="31" t="s"/>
      <c r="S16" s="13" t="s">
        <v>83</v>
      </c>
      <c r="T16" s="10" t="s">
        <v>23</v>
      </c>
      <c r="U16" s="10" t="s">
        <v>111</v>
      </c>
    </row>
    <row r="17" spans="1:21">
      <c r="A17" s="10" t="s">
        <v>102</v>
      </c>
      <c r="B17" s="10" t="s">
        <v>18</v>
      </c>
      <c r="C17" s="10" t="s">
        <v>47</v>
      </c>
      <c r="D17" s="10" t="s">
        <v>20</v>
      </c>
      <c r="E17" s="10">
        <f>=E10+300</f>
        <v>1250</v>
      </c>
      <c r="F17" s="10">
        <f>=F10+600</f>
        <v>1600</v>
      </c>
      <c r="G17" s="10">
        <f>=G10+300</f>
        <v>1650</v>
      </c>
      <c r="H17" s="10">
        <f>=H10+600</f>
        <v>2400</v>
      </c>
      <c r="I17" s="10">
        <f>=I10+300</f>
        <v>1950</v>
      </c>
      <c r="J17" s="10">
        <f>=J10+600</f>
        <v>2600</v>
      </c>
      <c r="K17" s="10">
        <f>=K10+300</f>
        <v>1850</v>
      </c>
      <c r="L17" s="10">
        <f>=L10+600</f>
        <v>2600</v>
      </c>
      <c r="M17" s="10">
        <f>=M10+300</f>
        <v>1800</v>
      </c>
      <c r="N17" s="10">
        <f>=N10+600</f>
        <v>2600</v>
      </c>
      <c r="O17" s="10">
        <f>=O10+300</f>
        <v>1850</v>
      </c>
      <c r="P17" s="10">
        <f>=P10+600</f>
        <v>2600</v>
      </c>
      <c r="Q17" s="30" t="s"/>
      <c r="R17" s="31" t="s"/>
      <c r="S17" s="13" t="s">
        <v>42</v>
      </c>
      <c r="T17" s="10" t="s">
        <v>23</v>
      </c>
      <c r="U17" s="10" t="s">
        <v>110</v>
      </c>
    </row>
    <row r="18" spans="1:21">
      <c r="A18" s="10" t="s">
        <v>102</v>
      </c>
      <c r="B18" s="10" t="s">
        <v>18</v>
      </c>
      <c r="C18" s="10" t="s">
        <v>47</v>
      </c>
      <c r="D18" s="10" t="s">
        <v>20</v>
      </c>
      <c r="E18" s="10">
        <f>=E10+700</f>
        <v>1650</v>
      </c>
      <c r="F18" s="10">
        <f>=F10+900</f>
        <v>1900</v>
      </c>
      <c r="G18" s="10">
        <f>=G5+600</f>
        <v>1700</v>
      </c>
      <c r="H18" s="10">
        <f>=H5+800</f>
        <v>2100</v>
      </c>
      <c r="I18" s="10">
        <f>=I5+600</f>
        <v>2100</v>
      </c>
      <c r="J18" s="10">
        <f>=J5+800</f>
        <v>2950</v>
      </c>
      <c r="K18" s="10">
        <f>=K5+600</f>
        <v>2000</v>
      </c>
      <c r="L18" s="10">
        <f>=L5+800</f>
        <v>2950</v>
      </c>
      <c r="M18" s="10">
        <f>=M5+600</f>
        <v>1950</v>
      </c>
      <c r="N18" s="10">
        <f>=N5+800</f>
        <v>2750</v>
      </c>
      <c r="O18" s="10">
        <f>=O5+600</f>
        <v>2000</v>
      </c>
      <c r="P18" s="10">
        <f>=P5+800</f>
        <v>2950</v>
      </c>
      <c r="Q18" s="28" t="s"/>
      <c r="R18" s="29" t="s"/>
      <c r="S18" s="13" t="s">
        <v>42</v>
      </c>
      <c r="T18" s="10" t="s">
        <v>23</v>
      </c>
      <c r="U18" s="10" t="s">
        <v>111</v>
      </c>
    </row>
    <row r="19" spans="1:21">
      <c r="A19" s="10" t="s">
        <v>96</v>
      </c>
      <c r="B19" s="10" t="s">
        <v>29</v>
      </c>
      <c r="C19" s="10" t="s">
        <v>35</v>
      </c>
      <c r="D19" s="10" t="s">
        <v>20</v>
      </c>
      <c r="E19" s="10">
        <f>=E3+250</f>
        <v>1100</v>
      </c>
      <c r="F19" s="10">
        <f>=F3+500</f>
        <v>1400</v>
      </c>
      <c r="G19" s="10">
        <f>=G3+250</f>
        <v>1500</v>
      </c>
      <c r="H19" s="10">
        <f>=H3+500</f>
        <v>2200</v>
      </c>
      <c r="I19" s="10">
        <f>=I3+250</f>
        <v>1800</v>
      </c>
      <c r="J19" s="10">
        <f>=J3+500</f>
        <v>2600</v>
      </c>
      <c r="K19" s="10">
        <f>=K3+250</f>
        <v>1700</v>
      </c>
      <c r="L19" s="10">
        <f>=L3+500</f>
        <v>2600</v>
      </c>
      <c r="M19" s="10">
        <f>=M3+250</f>
        <v>1650</v>
      </c>
      <c r="N19" s="10">
        <f>=N3+500</f>
        <v>2400</v>
      </c>
      <c r="O19" s="10">
        <f>=O3+250</f>
        <v>1700</v>
      </c>
      <c r="P19" s="10">
        <f>=P3+500</f>
        <v>2600</v>
      </c>
      <c r="Q19" s="28" t="s"/>
      <c r="R19" s="29" t="s"/>
      <c r="S19" s="13" t="s">
        <v>97</v>
      </c>
      <c r="T19" s="10" t="s">
        <v>23</v>
      </c>
      <c r="U19" s="10" t="s">
        <v>112</v>
      </c>
    </row>
    <row r="20" spans="1:21">
      <c r="A20" s="10" t="s">
        <v>96</v>
      </c>
      <c r="B20" s="10" t="s">
        <v>29</v>
      </c>
      <c r="C20" s="10" t="s">
        <v>35</v>
      </c>
      <c r="D20" s="10" t="s">
        <v>20</v>
      </c>
      <c r="E20" s="10">
        <f>=E3+500</f>
        <v>1350</v>
      </c>
      <c r="F20" s="10">
        <f>=F3+1000</f>
        <v>1900</v>
      </c>
      <c r="G20" s="10">
        <f>=G3+500</f>
        <v>1750</v>
      </c>
      <c r="H20" s="10">
        <f>=H3+1000</f>
        <v>2700</v>
      </c>
      <c r="I20" s="10">
        <f>=I3+500</f>
        <v>2050</v>
      </c>
      <c r="J20" s="10">
        <f>=J3+1000</f>
        <v>3100</v>
      </c>
      <c r="K20" s="10">
        <f>=K3+500</f>
        <v>1950</v>
      </c>
      <c r="L20" s="10">
        <f>=L3+1000</f>
        <v>3100</v>
      </c>
      <c r="M20" s="10">
        <f>=M3+500</f>
        <v>1900</v>
      </c>
      <c r="N20" s="10">
        <f>=N3+1000</f>
        <v>2900</v>
      </c>
      <c r="O20" s="10">
        <f>=O3+500</f>
        <v>1950</v>
      </c>
      <c r="P20" s="10">
        <f>=P3+1000</f>
        <v>3100</v>
      </c>
      <c r="Q20" s="28" t="s"/>
      <c r="R20" s="29" t="s"/>
      <c r="S20" s="13" t="s">
        <v>97</v>
      </c>
      <c r="T20" s="10" t="s">
        <v>23</v>
      </c>
      <c r="U20" s="10" t="s">
        <v>113</v>
      </c>
    </row>
    <row r="21" spans="1:21">
      <c r="A21" s="10" t="s">
        <v>102</v>
      </c>
      <c r="B21" s="10" t="s">
        <v>29</v>
      </c>
      <c r="C21" s="10" t="s">
        <v>35</v>
      </c>
      <c r="D21" s="10" t="s">
        <v>20</v>
      </c>
      <c r="E21" s="10">
        <f>=E7+250</f>
        <v>1100</v>
      </c>
      <c r="F21" s="10">
        <f>=F7+500</f>
        <v>1400</v>
      </c>
      <c r="G21" s="10">
        <f>=G7+250</f>
        <v>1500</v>
      </c>
      <c r="H21" s="10">
        <f>=H7+500</f>
        <v>2200</v>
      </c>
      <c r="I21" s="10">
        <f>=I7+250</f>
        <v>1800</v>
      </c>
      <c r="J21" s="10">
        <f>=J7+500</f>
        <v>2400</v>
      </c>
      <c r="K21" s="10">
        <f>=K7+250</f>
        <v>1700</v>
      </c>
      <c r="L21" s="10">
        <f>=L7+500</f>
        <v>2400</v>
      </c>
      <c r="M21" s="10">
        <f>=M7+250</f>
        <v>1650</v>
      </c>
      <c r="N21" s="10">
        <f>=N7+500</f>
        <v>2400</v>
      </c>
      <c r="O21" s="10">
        <f>=O7+250</f>
        <v>1700</v>
      </c>
      <c r="P21" s="10">
        <f>=P7+500</f>
        <v>2400</v>
      </c>
      <c r="Q21" s="28" t="s"/>
      <c r="R21" s="29" t="s"/>
      <c r="S21" s="13" t="s">
        <v>103</v>
      </c>
      <c r="T21" s="10" t="s">
        <v>23</v>
      </c>
      <c r="U21" s="10" t="s">
        <v>112</v>
      </c>
    </row>
    <row r="22" spans="1:21">
      <c r="A22" s="10" t="s">
        <v>102</v>
      </c>
      <c r="B22" s="10" t="s">
        <v>29</v>
      </c>
      <c r="C22" s="10" t="s">
        <v>35</v>
      </c>
      <c r="D22" s="10" t="s">
        <v>20</v>
      </c>
      <c r="E22" s="10">
        <f>=E7+500</f>
        <v>1350</v>
      </c>
      <c r="F22" s="10">
        <f>=F7+1000</f>
        <v>1900</v>
      </c>
      <c r="G22" s="10">
        <f>=G7+500</f>
        <v>1750</v>
      </c>
      <c r="H22" s="10">
        <f>=H7+1000</f>
        <v>2700</v>
      </c>
      <c r="I22" s="10">
        <f>=I7+500</f>
        <v>2050</v>
      </c>
      <c r="J22" s="10">
        <f>=J7+1000</f>
        <v>2900</v>
      </c>
      <c r="K22" s="10">
        <f>=K7+500</f>
        <v>1950</v>
      </c>
      <c r="L22" s="10">
        <f>=L7+1000</f>
        <v>2900</v>
      </c>
      <c r="M22" s="10">
        <f>=M7+500</f>
        <v>1900</v>
      </c>
      <c r="N22" s="10">
        <f>=N7+1000</f>
        <v>2900</v>
      </c>
      <c r="O22" s="10">
        <f>=O7+500</f>
        <v>1950</v>
      </c>
      <c r="P22" s="10">
        <f>=P7+1000</f>
        <v>2900</v>
      </c>
      <c r="Q22" s="28" t="s"/>
      <c r="R22" s="29" t="s"/>
      <c r="S22" s="13" t="s">
        <v>103</v>
      </c>
      <c r="T22" s="10" t="s">
        <v>23</v>
      </c>
      <c r="U22" s="10" t="s">
        <v>113</v>
      </c>
    </row>
    <row r="23" spans="1:21">
      <c r="A23" s="10" t="s">
        <v>102</v>
      </c>
      <c r="B23" s="10" t="s">
        <v>18</v>
      </c>
      <c r="C23" s="10" t="s">
        <v>27</v>
      </c>
      <c r="D23" s="10" t="s">
        <v>20</v>
      </c>
      <c r="E23" s="10">
        <f>=E13+800</f>
        <v>1500</v>
      </c>
      <c r="F23" s="10">
        <f>=F13+1000</f>
        <v>1800</v>
      </c>
      <c r="G23" s="10">
        <f>=G13+700</f>
        <v>1750</v>
      </c>
      <c r="H23" s="10">
        <f>=H13+1000</f>
        <v>2000</v>
      </c>
      <c r="I23" s="10">
        <f>=I13+700</f>
        <v>2050</v>
      </c>
      <c r="J23" s="10">
        <f>=J13+1000</f>
        <v>2600</v>
      </c>
      <c r="K23" s="10">
        <f>=K13+700</f>
        <v>2000</v>
      </c>
      <c r="L23" s="10">
        <f>=L13+1000</f>
        <v>2800</v>
      </c>
      <c r="M23" s="10">
        <f>=M13+700</f>
        <v>1950</v>
      </c>
      <c r="N23" s="10">
        <f>=N13+1000</f>
        <v>2700</v>
      </c>
      <c r="O23" s="10">
        <f>=O13+700</f>
        <v>2000</v>
      </c>
      <c r="P23" s="10">
        <f>=P13+1000</f>
        <v>2800</v>
      </c>
      <c r="Q23" s="32" t="s"/>
      <c r="R23" s="33" t="s"/>
      <c r="S23" s="13" t="s">
        <v>76</v>
      </c>
      <c r="T23" s="10" t="s">
        <v>23</v>
      </c>
      <c r="U23" s="10" t="s">
        <v>114</v>
      </c>
    </row>
    <row r="24" spans="1:21">
      <c r="A24" s="7" t="s">
        <v>96</v>
      </c>
      <c r="B24" s="7" t="s">
        <v>55</v>
      </c>
      <c r="C24" s="7" t="s">
        <v>35</v>
      </c>
      <c r="D24" s="10" t="s">
        <v>115</v>
      </c>
      <c r="E24" s="7" t="s"/>
      <c r="F24" s="7" t="s"/>
      <c r="G24" s="10">
        <v>4500</v>
      </c>
      <c r="H24" s="10">
        <v>6400</v>
      </c>
      <c r="I24" s="7" t="s"/>
      <c r="J24" s="7" t="s"/>
      <c r="K24" s="7" t="s"/>
      <c r="L24" s="7" t="s"/>
      <c r="M24" s="7" t="s"/>
      <c r="N24" s="7" t="s"/>
      <c r="O24" s="7" t="s"/>
      <c r="P24" s="7" t="s"/>
      <c r="Q24" s="7" t="s"/>
      <c r="R24" s="7" t="s"/>
      <c r="S24" s="13" t="s">
        <v>116</v>
      </c>
      <c r="T24" s="10" t="s">
        <v>23</v>
      </c>
      <c r="U24" s="20" t="s">
        <v>57</v>
      </c>
    </row>
    <row r="25" spans="1:21">
      <c r="A25" s="7" t="s">
        <v>96</v>
      </c>
      <c r="B25" s="7" t="s">
        <v>55</v>
      </c>
      <c r="C25" s="7" t="s">
        <v>35</v>
      </c>
      <c r="D25" s="10" t="s">
        <v>115</v>
      </c>
      <c r="E25" s="7" t="s"/>
      <c r="F25" s="7" t="s"/>
      <c r="G25" s="34">
        <f>=G24+1000</f>
        <v>5500</v>
      </c>
      <c r="H25" s="34">
        <f>=H24+1500</f>
        <v>7900</v>
      </c>
      <c r="I25" s="7" t="s"/>
      <c r="J25" s="7" t="s"/>
      <c r="K25" s="7" t="s"/>
      <c r="L25" s="7" t="s"/>
      <c r="M25" s="7" t="s"/>
      <c r="N25" s="7" t="s"/>
      <c r="O25" s="7" t="s"/>
      <c r="P25" s="7" t="s"/>
      <c r="Q25" s="7" t="s"/>
      <c r="R25" s="7" t="s"/>
      <c r="S25" s="13" t="s">
        <v>116</v>
      </c>
      <c r="T25" s="10" t="s">
        <v>23</v>
      </c>
      <c r="U25" s="20" t="s">
        <v>58</v>
      </c>
    </row>
    <row r="26" spans="1:21">
      <c r="A26" s="10" t="s">
        <v>102</v>
      </c>
      <c r="B26" s="10" t="s">
        <v>67</v>
      </c>
      <c r="C26" s="10" t="s">
        <v>35</v>
      </c>
      <c r="D26" s="10" t="s">
        <v>20</v>
      </c>
      <c r="E26" s="10" t="s"/>
      <c r="F26" s="10" t="s"/>
      <c r="G26" s="16">
        <v>3000</v>
      </c>
      <c r="H26" s="16">
        <v>4100</v>
      </c>
      <c r="I26" s="10" t="s"/>
      <c r="J26" s="10" t="s"/>
      <c r="K26" s="10" t="s"/>
      <c r="L26" s="10" t="s"/>
      <c r="M26" s="10" t="s"/>
      <c r="N26" s="10" t="s"/>
      <c r="O26" s="10" t="s"/>
      <c r="P26" s="10" t="s"/>
      <c r="Q26" s="10" t="s"/>
      <c r="R26" s="10" t="s"/>
      <c r="S26" s="10" t="s">
        <v>117</v>
      </c>
      <c r="T26" s="10" t="s">
        <v>118</v>
      </c>
      <c r="U26" s="10" t="s">
        <v>119</v>
      </c>
    </row>
    <row r="27" spans="1:21">
      <c r="A27" s="10" t="s">
        <v>102</v>
      </c>
      <c r="B27" s="7" t="s">
        <v>55</v>
      </c>
      <c r="C27" s="10" t="s">
        <v>35</v>
      </c>
      <c r="D27" s="10" t="s">
        <v>115</v>
      </c>
      <c r="E27" s="10" t="s"/>
      <c r="F27" s="10" t="s"/>
      <c r="G27" s="10">
        <v>4300</v>
      </c>
      <c r="H27" s="10">
        <v>5700</v>
      </c>
      <c r="I27" s="10" t="s"/>
      <c r="J27" s="10" t="s"/>
      <c r="K27" s="10" t="s"/>
      <c r="L27" s="10" t="s"/>
      <c r="M27" s="10" t="s"/>
      <c r="N27" s="10" t="s"/>
      <c r="O27" s="10" t="s"/>
      <c r="P27" s="10" t="s"/>
      <c r="Q27" s="10" t="s"/>
      <c r="R27" s="10" t="s"/>
      <c r="S27" s="13" t="s">
        <v>116</v>
      </c>
      <c r="T27" s="10" t="s">
        <v>23</v>
      </c>
      <c r="U27" s="13" t="s">
        <v>57</v>
      </c>
    </row>
    <row r="28" spans="1:21">
      <c r="A28" s="10" t="s">
        <v>96</v>
      </c>
      <c r="B28" s="7" t="s">
        <v>55</v>
      </c>
      <c r="C28" s="10" t="s">
        <v>70</v>
      </c>
      <c r="D28" s="10" t="s">
        <v>120</v>
      </c>
      <c r="E28" s="35" t="s">
        <v>62</v>
      </c>
      <c r="F28" s="35" t="s">
        <v>62</v>
      </c>
      <c r="G28" s="35" t="s">
        <v>62</v>
      </c>
      <c r="H28" s="35" t="s">
        <v>62</v>
      </c>
      <c r="I28" s="10" t="s"/>
      <c r="J28" s="10" t="s"/>
      <c r="K28" s="10" t="s"/>
      <c r="L28" s="10" t="s"/>
      <c r="M28" s="10" t="s"/>
      <c r="N28" s="10" t="s"/>
      <c r="O28" s="10" t="s"/>
      <c r="P28" s="10" t="s"/>
      <c r="Q28" s="10" t="s"/>
      <c r="R28" s="10" t="s"/>
      <c r="S28" s="13" t="s">
        <v>121</v>
      </c>
      <c r="T28" s="10" t="s">
        <v>122</v>
      </c>
      <c r="U28" s="13" t="s">
        <v>57</v>
      </c>
    </row>
    <row r="29" spans="1:21">
      <c r="A29" s="10" t="s">
        <v>102</v>
      </c>
      <c r="B29" s="7" t="s">
        <v>55</v>
      </c>
      <c r="C29" s="10" t="s">
        <v>70</v>
      </c>
      <c r="D29" s="10" t="s">
        <v>123</v>
      </c>
      <c r="E29" s="35" t="s">
        <v>62</v>
      </c>
      <c r="F29" s="35" t="s">
        <v>62</v>
      </c>
      <c r="G29" s="35" t="s">
        <v>62</v>
      </c>
      <c r="H29" s="35" t="s">
        <v>62</v>
      </c>
      <c r="I29" s="10" t="s"/>
      <c r="J29" s="10" t="s"/>
      <c r="K29" s="10" t="s"/>
      <c r="L29" s="10" t="s"/>
      <c r="M29" s="10" t="s"/>
      <c r="N29" s="10" t="s"/>
      <c r="O29" s="10" t="s"/>
      <c r="P29" s="10" t="s"/>
      <c r="Q29" s="10" t="s"/>
      <c r="R29" s="10" t="s"/>
      <c r="S29" s="13" t="s">
        <v>124</v>
      </c>
      <c r="T29" s="10" t="s">
        <v>122</v>
      </c>
      <c r="U29" s="13" t="s">
        <v>57</v>
      </c>
    </row>
    <row r="30" spans="1:21">
      <c r="A30" s="10" t="s">
        <v>102</v>
      </c>
      <c r="B30" s="10" t="s">
        <v>67</v>
      </c>
      <c r="C30" s="10" t="s">
        <v>70</v>
      </c>
      <c r="D30" s="10" t="s">
        <v>125</v>
      </c>
      <c r="E30" s="35">
        <v>3000</v>
      </c>
      <c r="F30" s="35">
        <v>3550</v>
      </c>
      <c r="G30" s="35">
        <v>3400</v>
      </c>
      <c r="H30" s="35">
        <v>3950</v>
      </c>
      <c r="I30" s="10" t="s"/>
      <c r="J30" s="10" t="s"/>
      <c r="K30" s="10" t="s"/>
      <c r="L30" s="10" t="s"/>
      <c r="M30" s="10" t="s"/>
      <c r="N30" s="10" t="s"/>
      <c r="O30" s="10" t="s"/>
      <c r="P30" s="10" t="s"/>
      <c r="Q30" s="10" t="s"/>
      <c r="R30" s="10" t="s"/>
      <c r="S30" s="13" t="s">
        <v>126</v>
      </c>
      <c r="T30" s="10" t="s">
        <v>118</v>
      </c>
      <c r="U30" s="10" t="s">
        <v>74</v>
      </c>
    </row>
    <row r="31" spans="1:21">
      <c r="A31" s="10" t="s">
        <v>96</v>
      </c>
      <c r="B31" s="10" t="s">
        <v>67</v>
      </c>
      <c r="C31" s="10" t="s">
        <v>70</v>
      </c>
      <c r="D31" s="10" t="s">
        <v>123</v>
      </c>
      <c r="E31" s="35">
        <v>2800</v>
      </c>
      <c r="F31" s="35">
        <v>3250</v>
      </c>
      <c r="G31" s="35">
        <v>3200</v>
      </c>
      <c r="H31" s="35">
        <v>3850</v>
      </c>
      <c r="I31" s="10" t="s"/>
      <c r="J31" s="10" t="s"/>
      <c r="K31" s="10" t="s"/>
      <c r="L31" s="10" t="s"/>
      <c r="M31" s="10" t="s"/>
      <c r="N31" s="10" t="s"/>
      <c r="O31" s="10" t="s"/>
      <c r="P31" s="10" t="s"/>
      <c r="Q31" s="10" t="s"/>
      <c r="R31" s="10" t="s"/>
      <c r="S31" s="13" t="s">
        <v>127</v>
      </c>
      <c r="T31" s="10" t="s">
        <v>122</v>
      </c>
      <c r="U31" s="10" t="s">
        <v>74</v>
      </c>
    </row>
    <row r="32" spans="1:21">
      <c r="A32" s="10" t="s">
        <v>102</v>
      </c>
      <c r="B32" s="7" t="s">
        <v>55</v>
      </c>
      <c r="C32" s="10" t="s">
        <v>27</v>
      </c>
      <c r="D32" s="18" t="s">
        <v>20</v>
      </c>
      <c r="E32" s="10" t="s"/>
      <c r="F32" s="10" t="s"/>
      <c r="G32" s="21">
        <v>3960</v>
      </c>
      <c r="H32" s="21">
        <v>5560</v>
      </c>
      <c r="I32" s="10" t="s"/>
      <c r="J32" s="10" t="s"/>
      <c r="K32" s="10" t="s"/>
      <c r="L32" s="10" t="s"/>
      <c r="M32" s="10" t="s"/>
      <c r="N32" s="10" t="s"/>
      <c r="O32" s="10" t="s"/>
      <c r="P32" s="10" t="s"/>
      <c r="Q32" s="10" t="s"/>
      <c r="R32" s="10" t="s"/>
      <c r="S32" s="13" t="s">
        <v>56</v>
      </c>
      <c r="T32" s="10" t="s">
        <v>78</v>
      </c>
      <c r="U32" s="18" t="s">
        <v>128</v>
      </c>
    </row>
    <row r="33" spans="1:21">
      <c r="A33" s="10" t="s">
        <v>102</v>
      </c>
      <c r="B33" s="10" t="s">
        <v>129</v>
      </c>
      <c r="C33" s="10" t="s">
        <v>27</v>
      </c>
      <c r="D33" s="18" t="s">
        <v>130</v>
      </c>
      <c r="E33" s="10" t="s"/>
      <c r="F33" s="10" t="s"/>
      <c r="G33" s="21">
        <v>4960</v>
      </c>
      <c r="H33" s="21">
        <v>6810</v>
      </c>
      <c r="I33" s="10" t="s"/>
      <c r="J33" s="10" t="s"/>
      <c r="K33" s="10" t="s"/>
      <c r="L33" s="10" t="s"/>
      <c r="M33" s="10" t="s"/>
      <c r="N33" s="10" t="s"/>
      <c r="O33" s="10" t="s"/>
      <c r="P33" s="10" t="s"/>
      <c r="Q33" s="10" t="s"/>
      <c r="R33" s="10" t="s"/>
      <c r="S33" s="13" t="s">
        <v>56</v>
      </c>
      <c r="T33" s="10" t="s">
        <v>78</v>
      </c>
      <c r="U33" s="18" t="s">
        <v>128</v>
      </c>
    </row>
    <row r="34" spans="1:21">
      <c r="A34" s="10" t="s">
        <v>96</v>
      </c>
      <c r="B34" s="10" t="s">
        <v>131</v>
      </c>
      <c r="C34" s="10" t="s">
        <v>59</v>
      </c>
      <c r="D34" s="10" t="s">
        <v>132</v>
      </c>
      <c r="E34" s="10" t="s"/>
      <c r="F34" s="10" t="s"/>
      <c r="G34" s="16">
        <v>4050</v>
      </c>
      <c r="H34" s="16">
        <v>5550</v>
      </c>
      <c r="I34" s="10" t="s"/>
      <c r="J34" s="10" t="s"/>
      <c r="K34" s="10" t="s"/>
      <c r="L34" s="10" t="s"/>
      <c r="M34" s="10" t="s"/>
      <c r="N34" s="10" t="s"/>
      <c r="O34" s="10" t="s"/>
      <c r="P34" s="10" t="s"/>
      <c r="Q34" s="10" t="s"/>
      <c r="R34" s="10" t="s"/>
      <c r="S34" s="10" t="s">
        <v>133</v>
      </c>
      <c r="T34" s="10" t="s">
        <v>134</v>
      </c>
      <c r="U34" s="18" t="s">
        <v>135</v>
      </c>
    </row>
    <row r="35" spans="1:21">
      <c r="A35" s="10" t="s">
        <v>102</v>
      </c>
      <c r="B35" s="10" t="s">
        <v>67</v>
      </c>
      <c r="C35" s="10" t="s">
        <v>84</v>
      </c>
      <c r="D35" s="10" t="s">
        <v>85</v>
      </c>
      <c r="E35" s="10" t="s"/>
      <c r="F35" s="10" t="s"/>
      <c r="G35" s="16">
        <v>3200</v>
      </c>
      <c r="H35" s="16">
        <v>3900</v>
      </c>
      <c r="I35" s="10" t="s"/>
      <c r="J35" s="10" t="s"/>
      <c r="K35" s="10" t="s"/>
      <c r="L35" s="10" t="s"/>
      <c r="M35" s="10" t="s"/>
      <c r="N35" s="10" t="s"/>
      <c r="O35" s="10" t="s"/>
      <c r="P35" s="10" t="s"/>
      <c r="Q35" s="10" t="s"/>
      <c r="R35" s="10" t="s"/>
      <c r="S35" s="10" t="s">
        <v>136</v>
      </c>
      <c r="T35" s="10" t="s">
        <v>23</v>
      </c>
      <c r="U35" s="10" t="s">
        <v>98</v>
      </c>
    </row>
  </sheetData>
  <mergeCells count="15">
    <mergeCell ref="A1:A2"/>
    <mergeCell ref="B1:B2"/>
    <mergeCell ref="C1:C2"/>
    <mergeCell ref="D1:D2"/>
    <mergeCell ref="E1:F1"/>
    <mergeCell ref="G1:H1"/>
    <mergeCell ref="I1:J1"/>
    <mergeCell ref="K1:L1"/>
    <mergeCell ref="M1:N1"/>
    <mergeCell ref="O1:P1"/>
    <mergeCell ref="Q1:R1"/>
    <mergeCell ref="S1:S2"/>
    <mergeCell ref="T1:T2"/>
    <mergeCell ref="U1:U2"/>
    <mergeCell ref="Q3:R23"/>
  </mergeCells>
</worksheet>
</file>

<file path=xl/worksheets/sheet3.xml><?xml version="1.0" encoding="utf-8"?>
<worksheet xmlns="http://schemas.openxmlformats.org/spreadsheetml/2006/main">
  <sheetPr codeName="CNTAO-CNRZH">
    <tabColor/>
  </sheetPr>
  <dimension ref="U39"/>
  <sheetViews>
    <sheetView showGridLines="true" workbookViewId="0">
      <pane ySplit="2" topLeftCell="A3" state="frozen"/>
    </sheetView>
  </sheetViews>
  <sheetFormatPr baseColWidth="13" defaultRowHeight="18" customHeight="true"/>
  <cols>
    <col min="5" max="16" width="9.57422" customWidth="true"/>
    <col min="17" max="17" width="8.09375" customWidth="true"/>
    <col min="18" max="18" width="7.68359" customWidth="true"/>
    <col min="19" max="19" width="19.1523" customWidth="true"/>
    <col min="20" max="20" width="10.9219" customWidth="true"/>
    <col min="21" max="21" width="35.0742" customWidth="true"/>
  </cols>
  <sheetData>
    <row r="1" spans="1:21">
      <c r="A1" s="4" t="s">
        <v>1</v>
      </c>
      <c r="B1" s="5" t="s">
        <v>2</v>
      </c>
      <c r="C1" s="5" t="s">
        <v>3</v>
      </c>
      <c r="D1" s="5" t="s">
        <v>4</v>
      </c>
      <c r="E1" s="5" t="s">
        <v>5</v>
      </c>
      <c r="F1" s="6" t="s"/>
      <c r="G1" s="5" t="s">
        <v>6</v>
      </c>
      <c r="H1" s="6" t="s"/>
      <c r="I1" s="5" t="s">
        <v>7</v>
      </c>
      <c r="J1" s="6" t="s"/>
      <c r="K1" s="5" t="s">
        <v>8</v>
      </c>
      <c r="L1" s="6" t="s"/>
      <c r="M1" s="5" t="s">
        <v>9</v>
      </c>
      <c r="N1" s="6" t="s"/>
      <c r="O1" s="5" t="s">
        <v>10</v>
      </c>
      <c r="P1" s="6" t="s"/>
      <c r="Q1" s="5" t="s">
        <v>11</v>
      </c>
      <c r="R1" s="6" t="s"/>
      <c r="S1" s="5" t="s">
        <v>12</v>
      </c>
      <c r="T1" s="5" t="s">
        <v>13</v>
      </c>
      <c r="U1" s="5" t="s">
        <v>14</v>
      </c>
    </row>
    <row r="2" spans="1:21">
      <c r="A2" s="7" t="s"/>
      <c r="B2" s="8" t="s"/>
      <c r="C2" s="8" t="s"/>
      <c r="D2" s="8" t="s"/>
      <c r="E2" s="9" t="s">
        <v>15</v>
      </c>
      <c r="F2" s="9" t="s">
        <v>16</v>
      </c>
      <c r="G2" s="9" t="s">
        <v>15</v>
      </c>
      <c r="H2" s="9" t="s">
        <v>16</v>
      </c>
      <c r="I2" s="9" t="s">
        <v>15</v>
      </c>
      <c r="J2" s="9" t="s">
        <v>16</v>
      </c>
      <c r="K2" s="9" t="s">
        <v>15</v>
      </c>
      <c r="L2" s="9" t="s">
        <v>16</v>
      </c>
      <c r="M2" s="9" t="s">
        <v>15</v>
      </c>
      <c r="N2" s="9" t="s">
        <v>16</v>
      </c>
      <c r="O2" s="9" t="s">
        <v>15</v>
      </c>
      <c r="P2" s="9" t="s">
        <v>16</v>
      </c>
      <c r="Q2" s="9" t="s">
        <v>15</v>
      </c>
      <c r="R2" s="9" t="s">
        <v>16</v>
      </c>
      <c r="S2" s="8" t="s"/>
      <c r="T2" s="8" t="s"/>
      <c r="U2" s="8" t="s"/>
    </row>
    <row r="3" spans="1:21" ht="18" customHeight="true">
      <c r="A3" s="10" t="s">
        <v>17</v>
      </c>
      <c r="B3" s="10" t="s">
        <v>18</v>
      </c>
      <c r="C3" s="10" t="s">
        <v>19</v>
      </c>
      <c r="D3" s="10" t="s">
        <v>20</v>
      </c>
      <c r="E3" s="10">
        <v>650</v>
      </c>
      <c r="F3" s="10">
        <v>800</v>
      </c>
      <c r="G3" s="10">
        <v>1050</v>
      </c>
      <c r="H3" s="10">
        <v>1600</v>
      </c>
      <c r="I3" s="10">
        <v>1350</v>
      </c>
      <c r="J3" s="11">
        <v>1400</v>
      </c>
      <c r="K3" s="10">
        <v>1250</v>
      </c>
      <c r="L3" s="10">
        <v>1800</v>
      </c>
      <c r="M3" s="10">
        <v>1200</v>
      </c>
      <c r="N3" s="10">
        <v>1800</v>
      </c>
      <c r="O3" s="10">
        <v>1300</v>
      </c>
      <c r="P3" s="10">
        <v>1800</v>
      </c>
      <c r="Q3" s="12" t="s">
        <v>21</v>
      </c>
      <c r="R3" s="10" t="s"/>
      <c r="S3" s="13" t="s">
        <v>22</v>
      </c>
      <c r="T3" s="14" t="s">
        <v>23</v>
      </c>
      <c r="U3" s="10" t="s">
        <v>24</v>
      </c>
    </row>
    <row r="4" spans="1:21">
      <c r="A4" s="10" t="s">
        <v>25</v>
      </c>
      <c r="B4" s="10" t="s">
        <v>18</v>
      </c>
      <c r="C4" s="10" t="s">
        <v>19</v>
      </c>
      <c r="D4" s="10" t="s">
        <v>26</v>
      </c>
      <c r="E4" s="10">
        <f>=E3+100</f>
        <v>750</v>
      </c>
      <c r="F4" s="10">
        <f>=F3+150</f>
        <v>950</v>
      </c>
      <c r="G4" s="10">
        <f>=G3+100</f>
        <v>1150</v>
      </c>
      <c r="H4" s="10">
        <f>=H3+150</f>
        <v>1750</v>
      </c>
      <c r="I4" s="10">
        <f>=I3+100</f>
        <v>1450</v>
      </c>
      <c r="J4" s="10">
        <f>=J3+150</f>
        <v>1550</v>
      </c>
      <c r="K4" s="10">
        <f>=K3+100</f>
        <v>1350</v>
      </c>
      <c r="L4" s="10">
        <f>=L3+150</f>
        <v>1950</v>
      </c>
      <c r="M4" s="10">
        <f>=M3+100</f>
        <v>1300</v>
      </c>
      <c r="N4" s="10">
        <f>=N3+150</f>
        <v>1950</v>
      </c>
      <c r="O4" s="10">
        <f>=O3+100</f>
        <v>1400</v>
      </c>
      <c r="P4" s="10">
        <f>=P3+150</f>
        <v>1950</v>
      </c>
      <c r="Q4" s="10" t="s"/>
      <c r="R4" s="10" t="s"/>
      <c r="S4" s="13" t="s">
        <v>22</v>
      </c>
      <c r="T4" s="14" t="s">
        <v>23</v>
      </c>
      <c r="U4" s="10" t="s">
        <v>24</v>
      </c>
    </row>
    <row r="5" spans="1:21">
      <c r="A5" s="10" t="s">
        <v>17</v>
      </c>
      <c r="B5" s="10" t="s">
        <v>18</v>
      </c>
      <c r="C5" s="10" t="s">
        <v>27</v>
      </c>
      <c r="D5" s="10" t="s">
        <v>20</v>
      </c>
      <c r="E5" s="10">
        <v>700</v>
      </c>
      <c r="F5" s="10">
        <v>800</v>
      </c>
      <c r="G5" s="10">
        <v>1050</v>
      </c>
      <c r="H5" s="10">
        <v>1000</v>
      </c>
      <c r="I5" s="10">
        <v>1350</v>
      </c>
      <c r="J5" s="10">
        <v>1600</v>
      </c>
      <c r="K5" s="10">
        <v>1300</v>
      </c>
      <c r="L5" s="10">
        <v>1800</v>
      </c>
      <c r="M5" s="10">
        <v>1250</v>
      </c>
      <c r="N5" s="10">
        <v>1700</v>
      </c>
      <c r="O5" s="10">
        <v>1300</v>
      </c>
      <c r="P5" s="10">
        <v>1800</v>
      </c>
      <c r="Q5" s="10" t="s"/>
      <c r="R5" s="10" t="s"/>
      <c r="S5" s="13" t="s">
        <v>28</v>
      </c>
      <c r="T5" s="14" t="s">
        <v>23</v>
      </c>
      <c r="U5" s="10" t="s">
        <v>24</v>
      </c>
    </row>
    <row r="6" spans="1:21">
      <c r="A6" s="10" t="s">
        <v>25</v>
      </c>
      <c r="B6" s="10" t="s">
        <v>18</v>
      </c>
      <c r="C6" s="10" t="s">
        <v>27</v>
      </c>
      <c r="D6" s="10" t="s">
        <v>26</v>
      </c>
      <c r="E6" s="10">
        <f>=E5+100</f>
        <v>800</v>
      </c>
      <c r="F6" s="10">
        <f>=F5+150</f>
        <v>950</v>
      </c>
      <c r="G6" s="10">
        <f>=G5+100</f>
        <v>1150</v>
      </c>
      <c r="H6" s="10">
        <f>=H5+150</f>
        <v>1150</v>
      </c>
      <c r="I6" s="10">
        <f>=I5+100</f>
        <v>1450</v>
      </c>
      <c r="J6" s="10">
        <f>=J5+150</f>
        <v>1750</v>
      </c>
      <c r="K6" s="10">
        <f>=K5+100</f>
        <v>1400</v>
      </c>
      <c r="L6" s="10">
        <f>=L5+150</f>
        <v>1950</v>
      </c>
      <c r="M6" s="10">
        <f>=M5+100</f>
        <v>1350</v>
      </c>
      <c r="N6" s="10">
        <f>=N5+150</f>
        <v>1850</v>
      </c>
      <c r="O6" s="10">
        <f>=O5+100</f>
        <v>1400</v>
      </c>
      <c r="P6" s="10">
        <f>=P5+150</f>
        <v>1950</v>
      </c>
      <c r="Q6" s="10" t="s"/>
      <c r="R6" s="10" t="s"/>
      <c r="S6" s="13" t="s">
        <v>28</v>
      </c>
      <c r="T6" s="14" t="s">
        <v>23</v>
      </c>
      <c r="U6" s="10" t="s">
        <v>24</v>
      </c>
    </row>
    <row r="7" spans="1:21">
      <c r="A7" s="10" t="s">
        <v>25</v>
      </c>
      <c r="B7" s="10" t="s">
        <v>29</v>
      </c>
      <c r="C7" s="10" t="s">
        <v>30</v>
      </c>
      <c r="D7" s="10" t="s">
        <v>31</v>
      </c>
      <c r="E7" s="10">
        <v>750</v>
      </c>
      <c r="F7" s="10">
        <v>900</v>
      </c>
      <c r="G7" s="10">
        <v>1175</v>
      </c>
      <c r="H7" s="10">
        <v>1500</v>
      </c>
      <c r="I7" s="10">
        <v>1450</v>
      </c>
      <c r="J7" s="10">
        <v>1700</v>
      </c>
      <c r="K7" s="10">
        <v>1450</v>
      </c>
      <c r="L7" s="10">
        <v>1700</v>
      </c>
      <c r="M7" s="10">
        <v>1450</v>
      </c>
      <c r="N7" s="10">
        <v>1700</v>
      </c>
      <c r="O7" s="10">
        <v>1450</v>
      </c>
      <c r="P7" s="10">
        <v>1700</v>
      </c>
      <c r="Q7" s="10" t="s"/>
      <c r="R7" s="10" t="s"/>
      <c r="S7" s="13" t="s">
        <v>32</v>
      </c>
      <c r="T7" s="14" t="s">
        <v>23</v>
      </c>
      <c r="U7" s="10" t="s">
        <v>24</v>
      </c>
    </row>
    <row r="8" spans="1:21">
      <c r="A8" s="10" t="s">
        <v>25</v>
      </c>
      <c r="B8" s="10" t="s">
        <v>18</v>
      </c>
      <c r="C8" s="10" t="s">
        <v>30</v>
      </c>
      <c r="D8" s="10" t="s">
        <v>31</v>
      </c>
      <c r="E8" s="10">
        <v>750</v>
      </c>
      <c r="F8" s="10">
        <v>900</v>
      </c>
      <c r="G8" s="10">
        <v>1175</v>
      </c>
      <c r="H8" s="10">
        <v>1500</v>
      </c>
      <c r="I8" s="10">
        <v>1450</v>
      </c>
      <c r="J8" s="10">
        <v>1700</v>
      </c>
      <c r="K8" s="10">
        <v>1450</v>
      </c>
      <c r="L8" s="10">
        <v>1700</v>
      </c>
      <c r="M8" s="10">
        <v>1450</v>
      </c>
      <c r="N8" s="10">
        <v>1700</v>
      </c>
      <c r="O8" s="10">
        <v>1450</v>
      </c>
      <c r="P8" s="10">
        <v>1700</v>
      </c>
      <c r="Q8" s="10" t="s"/>
      <c r="R8" s="10" t="s"/>
      <c r="S8" s="13" t="s">
        <v>28</v>
      </c>
      <c r="T8" s="14" t="s">
        <v>23</v>
      </c>
      <c r="U8" s="10" t="s">
        <v>24</v>
      </c>
    </row>
    <row r="9" spans="1:21">
      <c r="A9" s="10" t="s">
        <v>25</v>
      </c>
      <c r="B9" s="10" t="s">
        <v>18</v>
      </c>
      <c r="C9" s="10" t="s">
        <v>33</v>
      </c>
      <c r="D9" s="10" t="s">
        <v>31</v>
      </c>
      <c r="E9" s="10">
        <v>750</v>
      </c>
      <c r="F9" s="10">
        <v>900</v>
      </c>
      <c r="G9" s="10">
        <v>1150</v>
      </c>
      <c r="H9" s="10">
        <v>1700</v>
      </c>
      <c r="I9" s="10">
        <v>1450</v>
      </c>
      <c r="J9" s="10">
        <v>1900</v>
      </c>
      <c r="K9" s="10">
        <v>1350</v>
      </c>
      <c r="L9" s="10">
        <v>1900</v>
      </c>
      <c r="M9" s="10">
        <v>1250</v>
      </c>
      <c r="N9" s="10">
        <v>1900</v>
      </c>
      <c r="O9" s="10">
        <v>1350</v>
      </c>
      <c r="P9" s="10">
        <v>1900</v>
      </c>
      <c r="Q9" s="15" t="s"/>
      <c r="R9" s="15" t="s"/>
      <c r="S9" s="13" t="s">
        <v>34</v>
      </c>
      <c r="T9" s="14" t="s">
        <v>23</v>
      </c>
      <c r="U9" s="10" t="s">
        <v>24</v>
      </c>
    </row>
    <row r="10" spans="1:21">
      <c r="A10" s="10" t="s">
        <v>25</v>
      </c>
      <c r="B10" s="10" t="s">
        <v>29</v>
      </c>
      <c r="C10" s="10" t="s">
        <v>35</v>
      </c>
      <c r="D10" s="10" t="s">
        <v>20</v>
      </c>
      <c r="E10" s="10">
        <v>900</v>
      </c>
      <c r="F10" s="10">
        <v>1000</v>
      </c>
      <c r="G10" s="10">
        <v>1300</v>
      </c>
      <c r="H10" s="10">
        <v>1800</v>
      </c>
      <c r="I10" s="10">
        <v>1600</v>
      </c>
      <c r="J10" s="10">
        <v>2000</v>
      </c>
      <c r="K10" s="10">
        <v>1500</v>
      </c>
      <c r="L10" s="10">
        <v>2000</v>
      </c>
      <c r="M10" s="10">
        <v>1450</v>
      </c>
      <c r="N10" s="10">
        <v>2000</v>
      </c>
      <c r="O10" s="10">
        <v>1500</v>
      </c>
      <c r="P10" s="10">
        <v>2000</v>
      </c>
      <c r="Q10" s="10" t="s"/>
      <c r="R10" s="10" t="s"/>
      <c r="S10" s="13" t="s">
        <v>36</v>
      </c>
      <c r="T10" s="14" t="s">
        <v>23</v>
      </c>
      <c r="U10" s="10" t="s">
        <v>24</v>
      </c>
    </row>
    <row r="11" spans="1:21">
      <c r="A11" s="10" t="s">
        <v>25</v>
      </c>
      <c r="B11" s="10" t="s">
        <v>37</v>
      </c>
      <c r="C11" s="10" t="s">
        <v>38</v>
      </c>
      <c r="D11" s="10" t="s">
        <v>31</v>
      </c>
      <c r="E11" s="10">
        <v>850</v>
      </c>
      <c r="F11" s="10">
        <v>1050</v>
      </c>
      <c r="G11" s="10">
        <v>1150</v>
      </c>
      <c r="H11" s="10">
        <v>1650</v>
      </c>
      <c r="I11" s="10">
        <v>1450</v>
      </c>
      <c r="J11" s="10">
        <v>1800</v>
      </c>
      <c r="K11" s="10">
        <v>1400</v>
      </c>
      <c r="L11" s="10">
        <v>1850</v>
      </c>
      <c r="M11" s="10">
        <v>1400</v>
      </c>
      <c r="N11" s="10">
        <v>1800</v>
      </c>
      <c r="O11" s="10">
        <v>1400</v>
      </c>
      <c r="P11" s="10">
        <v>1950</v>
      </c>
      <c r="Q11" s="10" t="s"/>
      <c r="R11" s="10" t="s"/>
      <c r="S11" s="13" t="s">
        <v>39</v>
      </c>
      <c r="T11" s="14" t="s">
        <v>23</v>
      </c>
      <c r="U11" s="10" t="s">
        <v>40</v>
      </c>
    </row>
    <row r="12" spans="1:21">
      <c r="A12" s="10" t="s">
        <v>25</v>
      </c>
      <c r="B12" s="10" t="s">
        <v>18</v>
      </c>
      <c r="C12" s="10" t="s">
        <v>41</v>
      </c>
      <c r="D12" s="10" t="s">
        <v>20</v>
      </c>
      <c r="E12" s="10">
        <v>700</v>
      </c>
      <c r="F12" s="10">
        <v>800</v>
      </c>
      <c r="G12" s="10">
        <v>1150</v>
      </c>
      <c r="H12" s="10">
        <v>1600</v>
      </c>
      <c r="I12" s="10">
        <v>1400</v>
      </c>
      <c r="J12" s="10">
        <v>1800</v>
      </c>
      <c r="K12" s="10">
        <v>1300</v>
      </c>
      <c r="L12" s="10">
        <v>1800</v>
      </c>
      <c r="M12" s="10">
        <v>1250</v>
      </c>
      <c r="N12" s="10">
        <v>1800</v>
      </c>
      <c r="O12" s="10">
        <v>1300</v>
      </c>
      <c r="P12" s="10">
        <v>1800</v>
      </c>
      <c r="Q12" s="10" t="s"/>
      <c r="R12" s="10" t="s"/>
      <c r="S12" s="13" t="s">
        <v>42</v>
      </c>
      <c r="T12" s="14" t="s">
        <v>23</v>
      </c>
      <c r="U12" s="10" t="s">
        <v>24</v>
      </c>
    </row>
    <row r="13" spans="1:21">
      <c r="A13" s="10" t="s">
        <v>25</v>
      </c>
      <c r="B13" s="10" t="s">
        <v>43</v>
      </c>
      <c r="C13" s="10" t="s">
        <v>41</v>
      </c>
      <c r="D13" s="10" t="s">
        <v>20</v>
      </c>
      <c r="E13" s="10">
        <v>700</v>
      </c>
      <c r="F13" s="10">
        <v>900</v>
      </c>
      <c r="G13" s="10">
        <v>1150</v>
      </c>
      <c r="H13" s="10">
        <v>1700</v>
      </c>
      <c r="I13" s="10">
        <v>1400</v>
      </c>
      <c r="J13" s="10">
        <v>1900</v>
      </c>
      <c r="K13" s="10">
        <v>1300</v>
      </c>
      <c r="L13" s="10">
        <v>1900</v>
      </c>
      <c r="M13" s="10">
        <v>1250</v>
      </c>
      <c r="N13" s="10">
        <v>1900</v>
      </c>
      <c r="O13" s="10">
        <v>1300</v>
      </c>
      <c r="P13" s="10">
        <v>1900</v>
      </c>
      <c r="Q13" s="15" t="s"/>
      <c r="R13" s="15" t="s"/>
      <c r="S13" s="13" t="s">
        <v>42</v>
      </c>
      <c r="T13" s="14" t="s">
        <v>23</v>
      </c>
      <c r="U13" s="10" t="s">
        <v>24</v>
      </c>
    </row>
    <row r="14" spans="1:21">
      <c r="A14" s="10" t="s">
        <v>25</v>
      </c>
      <c r="B14" s="10" t="s">
        <v>44</v>
      </c>
      <c r="C14" s="10" t="s">
        <v>45</v>
      </c>
      <c r="D14" s="10" t="s">
        <v>26</v>
      </c>
      <c r="E14" s="16">
        <v>1080</v>
      </c>
      <c r="F14" s="16">
        <v>1247</v>
      </c>
      <c r="G14" s="16">
        <v>930</v>
      </c>
      <c r="H14" s="16">
        <v>997</v>
      </c>
      <c r="I14" s="16">
        <v>1430</v>
      </c>
      <c r="J14" s="16">
        <v>1847</v>
      </c>
      <c r="K14" s="16">
        <v>1680</v>
      </c>
      <c r="L14" s="16">
        <v>1847</v>
      </c>
      <c r="M14" s="16">
        <v>1230</v>
      </c>
      <c r="N14" s="16">
        <v>2247</v>
      </c>
      <c r="O14" s="16">
        <v>1680</v>
      </c>
      <c r="P14" s="16">
        <v>1847</v>
      </c>
      <c r="Q14" s="10" t="s"/>
      <c r="R14" s="10" t="s"/>
      <c r="S14" s="10" t="s">
        <v>46</v>
      </c>
      <c r="T14" s="14" t="s">
        <v>23</v>
      </c>
      <c r="U14" s="10" t="s">
        <v>24</v>
      </c>
    </row>
    <row r="15" spans="1:21">
      <c r="A15" s="10" t="s">
        <v>25</v>
      </c>
      <c r="B15" s="10" t="s">
        <v>18</v>
      </c>
      <c r="C15" s="10" t="s">
        <v>45</v>
      </c>
      <c r="D15" s="10" t="s">
        <v>26</v>
      </c>
      <c r="E15" s="16">
        <v>1025</v>
      </c>
      <c r="F15" s="16">
        <v>1362</v>
      </c>
      <c r="G15" s="16">
        <v>895</v>
      </c>
      <c r="H15" s="16">
        <v>1112</v>
      </c>
      <c r="I15" s="16">
        <v>1375</v>
      </c>
      <c r="J15" s="16">
        <v>1962</v>
      </c>
      <c r="K15" s="16">
        <v>1625</v>
      </c>
      <c r="L15" s="16">
        <v>1962</v>
      </c>
      <c r="M15" s="16">
        <v>1175</v>
      </c>
      <c r="N15" s="16">
        <v>2362</v>
      </c>
      <c r="O15" s="16">
        <v>1625</v>
      </c>
      <c r="P15" s="16">
        <v>1962</v>
      </c>
      <c r="Q15" s="10" t="s"/>
      <c r="R15" s="10" t="s"/>
      <c r="S15" s="10" t="s">
        <v>46</v>
      </c>
      <c r="T15" s="14" t="s">
        <v>23</v>
      </c>
      <c r="U15" s="10" t="s">
        <v>24</v>
      </c>
    </row>
    <row r="16" spans="1:21">
      <c r="A16" s="10" t="s">
        <v>17</v>
      </c>
      <c r="B16" s="10" t="s">
        <v>18</v>
      </c>
      <c r="C16" s="10" t="s">
        <v>47</v>
      </c>
      <c r="D16" s="10" t="s">
        <v>48</v>
      </c>
      <c r="E16" s="10">
        <v>950</v>
      </c>
      <c r="F16" s="10">
        <v>1050</v>
      </c>
      <c r="G16" s="10">
        <v>1350</v>
      </c>
      <c r="H16" s="10">
        <v>1850</v>
      </c>
      <c r="I16" s="10">
        <v>1650</v>
      </c>
      <c r="J16" s="10">
        <v>2050</v>
      </c>
      <c r="K16" s="10">
        <v>1550</v>
      </c>
      <c r="L16" s="10">
        <v>2050</v>
      </c>
      <c r="M16" s="10">
        <v>1500</v>
      </c>
      <c r="N16" s="10">
        <v>2050</v>
      </c>
      <c r="O16" s="10">
        <v>1650</v>
      </c>
      <c r="P16" s="10">
        <v>2050</v>
      </c>
      <c r="Q16" s="10" t="s"/>
      <c r="R16" s="10" t="s"/>
      <c r="S16" s="13" t="s">
        <v>49</v>
      </c>
      <c r="T16" s="14" t="s">
        <v>23</v>
      </c>
      <c r="U16" s="10" t="s">
        <v>24</v>
      </c>
    </row>
    <row r="17" spans="1:21">
      <c r="A17" s="10" t="s">
        <v>25</v>
      </c>
      <c r="B17" s="10" t="s">
        <v>18</v>
      </c>
      <c r="C17" s="10" t="s">
        <v>47</v>
      </c>
      <c r="D17" s="10" t="s">
        <v>26</v>
      </c>
      <c r="E17" s="10">
        <v>1100</v>
      </c>
      <c r="F17" s="10">
        <v>1300</v>
      </c>
      <c r="G17" s="10">
        <v>1500</v>
      </c>
      <c r="H17" s="10">
        <v>2100</v>
      </c>
      <c r="I17" s="10">
        <v>1800</v>
      </c>
      <c r="J17" s="10">
        <v>2300</v>
      </c>
      <c r="K17" s="10">
        <v>1700</v>
      </c>
      <c r="L17" s="10">
        <v>2300</v>
      </c>
      <c r="M17" s="10">
        <v>1650</v>
      </c>
      <c r="N17" s="10">
        <v>2300</v>
      </c>
      <c r="O17" s="10">
        <v>1700</v>
      </c>
      <c r="P17" s="10">
        <v>2300</v>
      </c>
      <c r="Q17" s="10" t="s"/>
      <c r="R17" s="10" t="s"/>
      <c r="S17" s="13" t="s">
        <v>49</v>
      </c>
      <c r="T17" s="14" t="s">
        <v>23</v>
      </c>
      <c r="U17" s="10" t="s">
        <v>24</v>
      </c>
    </row>
    <row r="18" spans="1:21" ht="27.75" customHeight="true">
      <c r="A18" s="10" t="s">
        <v>25</v>
      </c>
      <c r="B18" s="10" t="s">
        <v>18</v>
      </c>
      <c r="C18" s="10" t="s">
        <v>47</v>
      </c>
      <c r="D18" s="10" t="s">
        <v>26</v>
      </c>
      <c r="E18" s="10">
        <f>=E17+700</f>
        <v>1800</v>
      </c>
      <c r="F18" s="10">
        <f>=F17+900</f>
        <v>2200</v>
      </c>
      <c r="G18" s="10">
        <f>=G17+700</f>
        <v>2200</v>
      </c>
      <c r="H18" s="10">
        <f>=H17+900</f>
        <v>3000</v>
      </c>
      <c r="I18" s="10">
        <f>=I17+700</f>
        <v>2500</v>
      </c>
      <c r="J18" s="10">
        <f>=J17+900</f>
        <v>3200</v>
      </c>
      <c r="K18" s="10">
        <f>=K17+700</f>
        <v>2400</v>
      </c>
      <c r="L18" s="10">
        <f>=L17+900</f>
        <v>3200</v>
      </c>
      <c r="M18" s="10">
        <f>=M17+700</f>
        <v>2350</v>
      </c>
      <c r="N18" s="10">
        <f>=N17+900</f>
        <v>3200</v>
      </c>
      <c r="O18" s="10">
        <f>=O17+700</f>
        <v>2400</v>
      </c>
      <c r="P18" s="10">
        <f>=P17+900</f>
        <v>3200</v>
      </c>
      <c r="Q18" s="15" t="s"/>
      <c r="R18" s="15" t="s"/>
      <c r="S18" s="13" t="s">
        <v>49</v>
      </c>
      <c r="T18" s="14" t="s">
        <v>23</v>
      </c>
      <c r="U18" s="17" t="s">
        <v>50</v>
      </c>
    </row>
    <row r="19" spans="1:21" ht="27.75" customHeight="true">
      <c r="A19" s="10" t="s">
        <v>25</v>
      </c>
      <c r="B19" s="10" t="s">
        <v>18</v>
      </c>
      <c r="C19" s="10" t="s">
        <v>47</v>
      </c>
      <c r="D19" s="10" t="s">
        <v>26</v>
      </c>
      <c r="E19" s="10">
        <f>=E17+350</f>
        <v>1450</v>
      </c>
      <c r="F19" s="10">
        <f>=F17+700</f>
        <v>2000</v>
      </c>
      <c r="G19" s="10">
        <f>=G17+350</f>
        <v>1850</v>
      </c>
      <c r="H19" s="10">
        <f>=H17+700</f>
        <v>2800</v>
      </c>
      <c r="I19" s="10">
        <f>=I17+350</f>
        <v>2150</v>
      </c>
      <c r="J19" s="10">
        <f>=J17+700</f>
        <v>3000</v>
      </c>
      <c r="K19" s="10">
        <f>=K17+350</f>
        <v>2050</v>
      </c>
      <c r="L19" s="10">
        <f>=L17+700</f>
        <v>3000</v>
      </c>
      <c r="M19" s="10">
        <f>=M17+350</f>
        <v>2000</v>
      </c>
      <c r="N19" s="10">
        <f>=N17+700</f>
        <v>3000</v>
      </c>
      <c r="O19" s="10">
        <f>=O17+350</f>
        <v>2050</v>
      </c>
      <c r="P19" s="10">
        <f>=P17+700</f>
        <v>3000</v>
      </c>
      <c r="Q19" s="10" t="s"/>
      <c r="R19" s="10" t="s"/>
      <c r="S19" s="13" t="s">
        <v>49</v>
      </c>
      <c r="T19" s="14" t="s">
        <v>23</v>
      </c>
      <c r="U19" s="17" t="s">
        <v>51</v>
      </c>
    </row>
    <row r="20" spans="1:21" ht="27.75" customHeight="true">
      <c r="A20" s="10" t="s">
        <v>25</v>
      </c>
      <c r="B20" s="10" t="s">
        <v>29</v>
      </c>
      <c r="C20" s="10" t="s">
        <v>35</v>
      </c>
      <c r="D20" s="10" t="s">
        <v>26</v>
      </c>
      <c r="E20" s="10">
        <f>=E10+450</f>
        <v>1350</v>
      </c>
      <c r="F20" s="10">
        <f>=F10+800</f>
        <v>1800</v>
      </c>
      <c r="G20" s="10">
        <f>=G10+450</f>
        <v>1750</v>
      </c>
      <c r="H20" s="10">
        <f>=H10+800</f>
        <v>2600</v>
      </c>
      <c r="I20" s="10">
        <f>=I10+450</f>
        <v>2050</v>
      </c>
      <c r="J20" s="10">
        <f>=J10+800</f>
        <v>2800</v>
      </c>
      <c r="K20" s="10">
        <f>=K10+450</f>
        <v>1950</v>
      </c>
      <c r="L20" s="10">
        <f>=L10+800</f>
        <v>2800</v>
      </c>
      <c r="M20" s="10">
        <f>=M10+450</f>
        <v>1900</v>
      </c>
      <c r="N20" s="10">
        <f>=N10+800</f>
        <v>2800</v>
      </c>
      <c r="O20" s="10">
        <f>=O10+450</f>
        <v>1950</v>
      </c>
      <c r="P20" s="10">
        <f>=P10+800</f>
        <v>2800</v>
      </c>
      <c r="Q20" s="10" t="s"/>
      <c r="R20" s="10" t="s"/>
      <c r="S20" s="13" t="s">
        <v>36</v>
      </c>
      <c r="T20" s="14" t="s">
        <v>23</v>
      </c>
      <c r="U20" s="15" t="s">
        <v>52</v>
      </c>
    </row>
    <row r="21" spans="1:21" ht="27.75" customHeight="true">
      <c r="A21" s="10" t="s">
        <v>25</v>
      </c>
      <c r="B21" s="10" t="s">
        <v>29</v>
      </c>
      <c r="C21" s="10" t="s">
        <v>35</v>
      </c>
      <c r="D21" s="10" t="s">
        <v>26</v>
      </c>
      <c r="E21" s="10">
        <f>=E10+700</f>
        <v>1600</v>
      </c>
      <c r="F21" s="10">
        <f>=F10+1400</f>
        <v>2400</v>
      </c>
      <c r="G21" s="10">
        <f>=G10+700</f>
        <v>2000</v>
      </c>
      <c r="H21" s="10">
        <f>=H10+1400</f>
        <v>3200</v>
      </c>
      <c r="I21" s="10">
        <f>=I10+700</f>
        <v>2300</v>
      </c>
      <c r="J21" s="10">
        <f>=J10+1400</f>
        <v>3400</v>
      </c>
      <c r="K21" s="10">
        <f>=K10+700</f>
        <v>2200</v>
      </c>
      <c r="L21" s="10">
        <f>=L10+1400</f>
        <v>3400</v>
      </c>
      <c r="M21" s="10">
        <f>=M10+700</f>
        <v>2150</v>
      </c>
      <c r="N21" s="10">
        <f>=N10+1400</f>
        <v>3400</v>
      </c>
      <c r="O21" s="10">
        <f>=O10+700</f>
        <v>2200</v>
      </c>
      <c r="P21" s="10">
        <f>=P10+1400</f>
        <v>3400</v>
      </c>
      <c r="Q21" s="10" t="s"/>
      <c r="R21" s="10" t="s"/>
      <c r="S21" s="13" t="s">
        <v>36</v>
      </c>
      <c r="T21" s="14" t="s">
        <v>23</v>
      </c>
      <c r="U21" s="15" t="s">
        <v>53</v>
      </c>
    </row>
    <row r="22" spans="1:21" ht="27.75" customHeight="true">
      <c r="A22" s="10" t="s">
        <v>25</v>
      </c>
      <c r="B22" s="10" t="s">
        <v>18</v>
      </c>
      <c r="C22" s="10" t="s">
        <v>27</v>
      </c>
      <c r="D22" s="10" t="s">
        <v>26</v>
      </c>
      <c r="E22" s="10">
        <f>=E6+700</f>
        <v>1500</v>
      </c>
      <c r="F22" s="10">
        <f>=F6+1200</f>
        <v>2150</v>
      </c>
      <c r="G22" s="10">
        <f>=G6+700</f>
        <v>1850</v>
      </c>
      <c r="H22" s="10">
        <f>=H6+1200</f>
        <v>2350</v>
      </c>
      <c r="I22" s="10">
        <f>=I6+700</f>
        <v>2150</v>
      </c>
      <c r="J22" s="10">
        <f>=J6+1200</f>
        <v>2950</v>
      </c>
      <c r="K22" s="10">
        <f>=K6+700</f>
        <v>2100</v>
      </c>
      <c r="L22" s="10">
        <f>=L6+1200</f>
        <v>3150</v>
      </c>
      <c r="M22" s="10">
        <f>=M6+700</f>
        <v>2050</v>
      </c>
      <c r="N22" s="10">
        <f>=N6+1200</f>
        <v>3050</v>
      </c>
      <c r="O22" s="10">
        <f>=O6+700</f>
        <v>2100</v>
      </c>
      <c r="P22" s="10">
        <f>=P6+1200</f>
        <v>3150</v>
      </c>
      <c r="Q22" s="10" t="s"/>
      <c r="R22" s="10" t="s"/>
      <c r="S22" s="13" t="s">
        <v>28</v>
      </c>
      <c r="T22" s="14" t="s">
        <v>23</v>
      </c>
      <c r="U22" s="15" t="s">
        <v>54</v>
      </c>
    </row>
    <row r="23" spans="1:21">
      <c r="A23" s="10" t="s">
        <v>25</v>
      </c>
      <c r="B23" s="10" t="s">
        <v>29</v>
      </c>
      <c r="C23" s="10" t="s">
        <v>30</v>
      </c>
      <c r="D23" s="10" t="s">
        <v>48</v>
      </c>
      <c r="E23" s="10">
        <f>=E7+500</f>
        <v>1250</v>
      </c>
      <c r="F23" s="10">
        <f>=F7+500</f>
        <v>1400</v>
      </c>
      <c r="G23" s="10">
        <f>=G7+500</f>
        <v>1675</v>
      </c>
      <c r="H23" s="10">
        <f>=H7+500</f>
        <v>2000</v>
      </c>
      <c r="I23" s="10">
        <f>=I7+500</f>
        <v>1950</v>
      </c>
      <c r="J23" s="10">
        <f>=J7+500</f>
        <v>2200</v>
      </c>
      <c r="K23" s="10">
        <f>=K7+500</f>
        <v>1950</v>
      </c>
      <c r="L23" s="10">
        <f>=L7+500</f>
        <v>2200</v>
      </c>
      <c r="M23" s="10">
        <f>=M7+500</f>
        <v>1950</v>
      </c>
      <c r="N23" s="10">
        <f>=N7+500</f>
        <v>2200</v>
      </c>
      <c r="O23" s="10">
        <f>=O7+500</f>
        <v>1950</v>
      </c>
      <c r="P23" s="10">
        <f>=P7+500</f>
        <v>2200</v>
      </c>
      <c r="Q23" s="10" t="s"/>
      <c r="R23" s="10" t="s"/>
      <c r="S23" s="13" t="s">
        <v>32</v>
      </c>
      <c r="T23" s="14" t="s">
        <v>23</v>
      </c>
      <c r="U23" s="15" t="s">
        <v>52</v>
      </c>
    </row>
    <row r="24" spans="1:21">
      <c r="A24" s="10" t="s">
        <v>25</v>
      </c>
      <c r="B24" s="10" t="s">
        <v>18</v>
      </c>
      <c r="C24" s="10" t="s">
        <v>30</v>
      </c>
      <c r="D24" s="10" t="s">
        <v>48</v>
      </c>
      <c r="E24" s="10">
        <f>=E8+500</f>
        <v>1250</v>
      </c>
      <c r="F24" s="10">
        <f>=F8+500</f>
        <v>1400</v>
      </c>
      <c r="G24" s="10">
        <f>=G8+500</f>
        <v>1675</v>
      </c>
      <c r="H24" s="10">
        <f>=H8+500</f>
        <v>2000</v>
      </c>
      <c r="I24" s="10">
        <f>=I8+500</f>
        <v>1950</v>
      </c>
      <c r="J24" s="10">
        <f>=J8+500</f>
        <v>2200</v>
      </c>
      <c r="K24" s="10">
        <f>=K8+500</f>
        <v>1950</v>
      </c>
      <c r="L24" s="10">
        <f>=L8+500</f>
        <v>2200</v>
      </c>
      <c r="M24" s="10">
        <f>=M8+500</f>
        <v>1950</v>
      </c>
      <c r="N24" s="10">
        <f>=N8+500</f>
        <v>2200</v>
      </c>
      <c r="O24" s="10">
        <f>=O8+500</f>
        <v>1950</v>
      </c>
      <c r="P24" s="10">
        <f>=P8+500</f>
        <v>2200</v>
      </c>
      <c r="Q24" s="10" t="s"/>
      <c r="R24" s="10" t="s"/>
      <c r="S24" s="13" t="s">
        <v>28</v>
      </c>
      <c r="T24" s="14" t="s">
        <v>23</v>
      </c>
      <c r="U24" s="15" t="s">
        <v>52</v>
      </c>
    </row>
    <row r="25" spans="1:21">
      <c r="A25" s="10" t="s">
        <v>25</v>
      </c>
      <c r="B25" s="10" t="s">
        <v>55</v>
      </c>
      <c r="C25" s="10" t="s">
        <v>35</v>
      </c>
      <c r="D25" s="10" t="s">
        <v>26</v>
      </c>
      <c r="E25" s="10" t="s"/>
      <c r="F25" s="10" t="s"/>
      <c r="G25" s="10">
        <v>4000</v>
      </c>
      <c r="H25" s="10">
        <v>5100</v>
      </c>
      <c r="I25" s="10" t="s"/>
      <c r="J25" s="10" t="s"/>
      <c r="K25" s="10" t="s"/>
      <c r="L25" s="10" t="s"/>
      <c r="M25" s="10" t="s"/>
      <c r="N25" s="10" t="s"/>
      <c r="O25" s="10" t="s"/>
      <c r="P25" s="10" t="s"/>
      <c r="Q25" s="10" t="s"/>
      <c r="R25" s="10" t="s"/>
      <c r="S25" s="13" t="s">
        <v>56</v>
      </c>
      <c r="T25" s="14" t="s">
        <v>23</v>
      </c>
      <c r="U25" s="18" t="s">
        <v>57</v>
      </c>
    </row>
    <row r="26" spans="1:21">
      <c r="A26" s="10" t="s">
        <v>25</v>
      </c>
      <c r="B26" s="10" t="s">
        <v>55</v>
      </c>
      <c r="C26" s="10" t="s">
        <v>35</v>
      </c>
      <c r="D26" s="10" t="s">
        <v>26</v>
      </c>
      <c r="E26" s="10" t="s"/>
      <c r="F26" s="10" t="s"/>
      <c r="G26" s="10">
        <f>=G25+1000</f>
        <v>5000</v>
      </c>
      <c r="H26" s="10">
        <f>=H25+1500</f>
        <v>6600</v>
      </c>
      <c r="I26" s="10" t="s"/>
      <c r="J26" s="10" t="s"/>
      <c r="K26" s="10" t="s"/>
      <c r="L26" s="10" t="s"/>
      <c r="M26" s="10" t="s"/>
      <c r="N26" s="10" t="s"/>
      <c r="O26" s="10" t="s"/>
      <c r="P26" s="10" t="s"/>
      <c r="Q26" s="10" t="s"/>
      <c r="R26" s="10" t="s"/>
      <c r="S26" s="13" t="s">
        <v>56</v>
      </c>
      <c r="T26" s="14" t="s">
        <v>23</v>
      </c>
      <c r="U26" s="18" t="s">
        <v>58</v>
      </c>
    </row>
    <row r="27" spans="1:21">
      <c r="A27" s="10" t="s">
        <v>25</v>
      </c>
      <c r="B27" s="10" t="s">
        <v>55</v>
      </c>
      <c r="C27" s="10" t="s">
        <v>59</v>
      </c>
      <c r="D27" s="10" t="s">
        <v>20</v>
      </c>
      <c r="E27" s="10" t="s"/>
      <c r="F27" s="10" t="s"/>
      <c r="G27" s="10">
        <v>4850</v>
      </c>
      <c r="H27" s="10">
        <v>7350</v>
      </c>
      <c r="I27" s="10" t="s"/>
      <c r="J27" s="10" t="s"/>
      <c r="K27" s="10" t="s"/>
      <c r="L27" s="10" t="s"/>
      <c r="M27" s="10" t="s"/>
      <c r="N27" s="10" t="s"/>
      <c r="O27" s="10" t="s"/>
      <c r="P27" s="10" t="s"/>
      <c r="Q27" s="10" t="s"/>
      <c r="R27" s="10" t="s"/>
      <c r="S27" s="13" t="s">
        <v>60</v>
      </c>
      <c r="T27" s="14" t="s">
        <v>61</v>
      </c>
      <c r="U27" s="18" t="s">
        <v>57</v>
      </c>
    </row>
    <row r="28" spans="1:21">
      <c r="A28" s="10" t="s">
        <v>25</v>
      </c>
      <c r="B28" s="10" t="s">
        <v>55</v>
      </c>
      <c r="C28" s="10" t="s">
        <v>59</v>
      </c>
      <c r="D28" s="10" t="s">
        <v>20</v>
      </c>
      <c r="E28" s="10" t="s"/>
      <c r="F28" s="10" t="s"/>
      <c r="G28" s="10" t="s">
        <v>62</v>
      </c>
      <c r="H28" s="10" t="s">
        <v>62</v>
      </c>
      <c r="I28" s="10" t="s"/>
      <c r="J28" s="10" t="s"/>
      <c r="K28" s="10" t="s"/>
      <c r="L28" s="10" t="s"/>
      <c r="M28" s="10" t="s"/>
      <c r="N28" s="10" t="s"/>
      <c r="O28" s="10" t="s"/>
      <c r="P28" s="10" t="s"/>
      <c r="Q28" s="10" t="s"/>
      <c r="R28" s="10" t="s"/>
      <c r="S28" s="13" t="s">
        <v>60</v>
      </c>
      <c r="T28" s="14" t="s">
        <v>61</v>
      </c>
      <c r="U28" s="18" t="s">
        <v>63</v>
      </c>
    </row>
    <row r="29" spans="1:21">
      <c r="A29" s="10" t="s">
        <v>25</v>
      </c>
      <c r="B29" s="10" t="s">
        <v>55</v>
      </c>
      <c r="C29" s="10" t="s">
        <v>59</v>
      </c>
      <c r="D29" s="10" t="s">
        <v>20</v>
      </c>
      <c r="E29" s="10" t="s"/>
      <c r="F29" s="10" t="s"/>
      <c r="G29" s="16">
        <v>4400</v>
      </c>
      <c r="H29" s="16">
        <v>6600</v>
      </c>
      <c r="I29" s="10" t="s"/>
      <c r="J29" s="10" t="s"/>
      <c r="K29" s="10" t="s"/>
      <c r="L29" s="10" t="s"/>
      <c r="M29" s="10" t="s"/>
      <c r="N29" s="10" t="s"/>
      <c r="O29" s="10" t="s"/>
      <c r="P29" s="10" t="s"/>
      <c r="Q29" s="10" t="s"/>
      <c r="R29" s="10" t="s"/>
      <c r="S29" s="13" t="s">
        <v>60</v>
      </c>
      <c r="T29" s="14" t="s">
        <v>61</v>
      </c>
      <c r="U29" s="10" t="s">
        <v>24</v>
      </c>
    </row>
    <row r="30" spans="1:21">
      <c r="A30" s="10" t="s">
        <v>25</v>
      </c>
      <c r="B30" s="10" t="s">
        <v>55</v>
      </c>
      <c r="C30" s="10" t="s">
        <v>64</v>
      </c>
      <c r="D30" s="10" t="s">
        <v>20</v>
      </c>
      <c r="E30" s="10" t="s"/>
      <c r="F30" s="10" t="s"/>
      <c r="G30" s="16">
        <v>3950</v>
      </c>
      <c r="H30" s="16">
        <v>5250</v>
      </c>
      <c r="I30" s="10" t="s"/>
      <c r="J30" s="10" t="s"/>
      <c r="K30" s="10" t="s"/>
      <c r="L30" s="10" t="s"/>
      <c r="M30" s="10" t="s"/>
      <c r="N30" s="10" t="s"/>
      <c r="O30" s="10" t="s"/>
      <c r="P30" s="10" t="s"/>
      <c r="Q30" s="10" t="s"/>
      <c r="R30" s="10" t="s"/>
      <c r="S30" s="13" t="s">
        <v>65</v>
      </c>
      <c r="T30" s="14" t="s">
        <v>23</v>
      </c>
      <c r="U30" s="10" t="s">
        <v>66</v>
      </c>
    </row>
    <row r="31" spans="1:21">
      <c r="A31" s="10" t="s">
        <v>25</v>
      </c>
      <c r="B31" s="10" t="s">
        <v>67</v>
      </c>
      <c r="C31" s="10" t="s">
        <v>64</v>
      </c>
      <c r="D31" s="10" t="s">
        <v>68</v>
      </c>
      <c r="E31" s="10" t="s"/>
      <c r="F31" s="10" t="s"/>
      <c r="G31" s="16">
        <v>2750</v>
      </c>
      <c r="H31" s="16">
        <v>3900</v>
      </c>
      <c r="I31" s="10" t="s"/>
      <c r="J31" s="10" t="s"/>
      <c r="K31" s="10" t="s"/>
      <c r="L31" s="10" t="s"/>
      <c r="M31" s="10" t="s"/>
      <c r="N31" s="10" t="s"/>
      <c r="O31" s="10" t="s"/>
      <c r="P31" s="10" t="s"/>
      <c r="Q31" s="10" t="s"/>
      <c r="R31" s="10" t="s"/>
      <c r="S31" s="13" t="s">
        <v>65</v>
      </c>
      <c r="T31" s="14" t="s">
        <v>23</v>
      </c>
      <c r="U31" s="10" t="s">
        <v>69</v>
      </c>
    </row>
    <row r="32" spans="1:21">
      <c r="A32" s="10" t="s">
        <v>25</v>
      </c>
      <c r="B32" s="10" t="s">
        <v>55</v>
      </c>
      <c r="C32" s="10" t="s">
        <v>70</v>
      </c>
      <c r="D32" s="10" t="s">
        <v>71</v>
      </c>
      <c r="E32" s="10" t="s"/>
      <c r="F32" s="10" t="s"/>
      <c r="G32" s="16">
        <v>4050</v>
      </c>
      <c r="H32" s="16">
        <v>5450</v>
      </c>
      <c r="I32" s="10" t="s"/>
      <c r="J32" s="10" t="s"/>
      <c r="K32" s="10" t="s"/>
      <c r="L32" s="10" t="s"/>
      <c r="M32" s="10" t="s"/>
      <c r="N32" s="10" t="s"/>
      <c r="O32" s="10" t="s"/>
      <c r="P32" s="10" t="s"/>
      <c r="Q32" s="10" t="s"/>
      <c r="R32" s="10" t="s"/>
      <c r="S32" s="13" t="s">
        <v>72</v>
      </c>
      <c r="T32" s="14" t="s">
        <v>23</v>
      </c>
      <c r="U32" s="10" t="s">
        <v>73</v>
      </c>
    </row>
    <row r="33" spans="1:21">
      <c r="A33" s="10" t="s">
        <v>25</v>
      </c>
      <c r="B33" s="10" t="s">
        <v>67</v>
      </c>
      <c r="C33" s="10" t="s">
        <v>70</v>
      </c>
      <c r="D33" s="10" t="s">
        <v>71</v>
      </c>
      <c r="E33" s="10" t="s"/>
      <c r="F33" s="10" t="s"/>
      <c r="G33" s="16">
        <v>3100</v>
      </c>
      <c r="H33" s="16">
        <v>4300</v>
      </c>
      <c r="I33" s="10" t="s"/>
      <c r="J33" s="10" t="s"/>
      <c r="K33" s="10" t="s"/>
      <c r="L33" s="10" t="s"/>
      <c r="M33" s="10" t="s"/>
      <c r="N33" s="10" t="s"/>
      <c r="O33" s="10" t="s"/>
      <c r="P33" s="10" t="s"/>
      <c r="Q33" s="10" t="s"/>
      <c r="R33" s="10" t="s"/>
      <c r="S33" s="13" t="s">
        <v>72</v>
      </c>
      <c r="T33" s="14" t="s">
        <v>23</v>
      </c>
      <c r="U33" s="19" t="s">
        <v>74</v>
      </c>
    </row>
    <row r="34" spans="1:21">
      <c r="A34" s="10" t="s">
        <v>25</v>
      </c>
      <c r="B34" s="10" t="s">
        <v>55</v>
      </c>
      <c r="C34" s="10" t="s">
        <v>75</v>
      </c>
      <c r="D34" s="10" t="s">
        <v>71</v>
      </c>
      <c r="E34" s="10" t="s"/>
      <c r="F34" s="10" t="s"/>
      <c r="G34" s="16">
        <v>3950</v>
      </c>
      <c r="H34" s="16">
        <v>5650</v>
      </c>
      <c r="I34" s="10" t="s"/>
      <c r="J34" s="10" t="s"/>
      <c r="K34" s="10" t="s"/>
      <c r="L34" s="10" t="s"/>
      <c r="M34" s="10" t="s"/>
      <c r="N34" s="10" t="s"/>
      <c r="O34" s="10" t="s"/>
      <c r="P34" s="10" t="s"/>
      <c r="Q34" s="10" t="s"/>
      <c r="R34" s="10" t="s"/>
      <c r="S34" s="13" t="s">
        <v>76</v>
      </c>
      <c r="T34" s="14" t="s">
        <v>23</v>
      </c>
      <c r="U34" s="10" t="s">
        <v>73</v>
      </c>
    </row>
    <row r="35" spans="1:21">
      <c r="A35" s="10" t="s">
        <v>25</v>
      </c>
      <c r="B35" s="10" t="s">
        <v>67</v>
      </c>
      <c r="C35" s="10" t="s">
        <v>75</v>
      </c>
      <c r="D35" s="10" t="s">
        <v>71</v>
      </c>
      <c r="E35" s="10" t="s"/>
      <c r="F35" s="10" t="s"/>
      <c r="G35" s="16">
        <v>2700</v>
      </c>
      <c r="H35" s="16">
        <v>3550</v>
      </c>
      <c r="I35" s="10" t="s"/>
      <c r="J35" s="10" t="s"/>
      <c r="K35" s="10" t="s"/>
      <c r="L35" s="10" t="s"/>
      <c r="M35" s="10" t="s"/>
      <c r="N35" s="10" t="s"/>
      <c r="O35" s="10" t="s"/>
      <c r="P35" s="10" t="s"/>
      <c r="Q35" s="10" t="s"/>
      <c r="R35" s="10" t="s"/>
      <c r="S35" s="13" t="s">
        <v>76</v>
      </c>
      <c r="T35" s="14" t="s">
        <v>23</v>
      </c>
      <c r="U35" s="19" t="s">
        <v>74</v>
      </c>
    </row>
    <row r="36" spans="1:21">
      <c r="A36" s="10" t="s">
        <v>17</v>
      </c>
      <c r="B36" s="10" t="s">
        <v>55</v>
      </c>
      <c r="C36" s="7" t="s">
        <v>27</v>
      </c>
      <c r="D36" s="20" t="s">
        <v>20</v>
      </c>
      <c r="E36" s="7" t="s"/>
      <c r="F36" s="7" t="s"/>
      <c r="G36" s="21">
        <v>3760</v>
      </c>
      <c r="H36" s="21">
        <v>5360</v>
      </c>
      <c r="I36" s="7" t="s"/>
      <c r="J36" s="22" t="s"/>
      <c r="K36" s="7" t="s"/>
      <c r="L36" s="7" t="s"/>
      <c r="M36" s="7" t="s"/>
      <c r="N36" s="7" t="s"/>
      <c r="O36" s="7" t="s"/>
      <c r="P36" s="7" t="s"/>
      <c r="Q36" s="7" t="s"/>
      <c r="R36" s="7" t="s"/>
      <c r="S36" s="13" t="s">
        <v>77</v>
      </c>
      <c r="T36" s="14" t="s">
        <v>78</v>
      </c>
      <c r="U36" s="20" t="s">
        <v>79</v>
      </c>
    </row>
    <row r="37" spans="1:21">
      <c r="A37" s="10" t="s">
        <v>25</v>
      </c>
      <c r="B37" s="10" t="s">
        <v>55</v>
      </c>
      <c r="C37" s="7" t="s">
        <v>80</v>
      </c>
      <c r="D37" s="20" t="s">
        <v>20</v>
      </c>
      <c r="E37" s="7" t="s"/>
      <c r="F37" s="7" t="s"/>
      <c r="G37" s="21">
        <v>3450</v>
      </c>
      <c r="H37" s="21">
        <v>4550</v>
      </c>
      <c r="I37" s="7" t="s"/>
      <c r="J37" s="22" t="s"/>
      <c r="K37" s="7" t="s"/>
      <c r="L37" s="7" t="s"/>
      <c r="M37" s="7" t="s"/>
      <c r="N37" s="7" t="s"/>
      <c r="O37" s="7" t="s"/>
      <c r="P37" s="7" t="s"/>
      <c r="Q37" s="7" t="s"/>
      <c r="R37" s="7" t="s"/>
      <c r="S37" s="13" t="s">
        <v>76</v>
      </c>
      <c r="T37" s="14" t="s">
        <v>23</v>
      </c>
      <c r="U37" s="20" t="s">
        <v>79</v>
      </c>
    </row>
    <row r="38" spans="1:21">
      <c r="A38" s="10" t="s">
        <v>25</v>
      </c>
      <c r="B38" s="10" t="s">
        <v>67</v>
      </c>
      <c r="C38" s="13" t="s">
        <v>81</v>
      </c>
      <c r="D38" s="13" t="s">
        <v>82</v>
      </c>
      <c r="E38" s="10" t="s"/>
      <c r="F38" s="10" t="s"/>
      <c r="G38" s="10">
        <v>3300</v>
      </c>
      <c r="H38" s="10">
        <v>4600</v>
      </c>
      <c r="I38" s="10" t="s"/>
      <c r="J38" s="10" t="s"/>
      <c r="K38" s="10" t="s"/>
      <c r="L38" s="10" t="s"/>
      <c r="M38" s="10" t="s"/>
      <c r="N38" s="10" t="s"/>
      <c r="O38" s="10" t="s"/>
      <c r="P38" s="10" t="s"/>
      <c r="Q38" s="10" t="s"/>
      <c r="R38" s="10" t="s"/>
      <c r="S38" s="13" t="s">
        <v>83</v>
      </c>
      <c r="T38" s="14" t="s">
        <v>23</v>
      </c>
      <c r="U38" s="19" t="s">
        <v>74</v>
      </c>
    </row>
    <row r="39" spans="1:21">
      <c r="A39" s="10" t="s">
        <v>25</v>
      </c>
      <c r="B39" s="10" t="s">
        <v>67</v>
      </c>
      <c r="C39" s="10" t="s">
        <v>84</v>
      </c>
      <c r="D39" s="10" t="s">
        <v>85</v>
      </c>
      <c r="E39" s="10" t="s"/>
      <c r="F39" s="10" t="s"/>
      <c r="G39" s="16">
        <v>3000</v>
      </c>
      <c r="H39" s="16">
        <v>3700</v>
      </c>
      <c r="I39" s="10" t="s"/>
      <c r="J39" s="10" t="s"/>
      <c r="K39" s="10" t="s"/>
      <c r="L39" s="10" t="s"/>
      <c r="M39" s="10" t="s"/>
      <c r="N39" s="10" t="s"/>
      <c r="O39" s="10" t="s"/>
      <c r="P39" s="10" t="s"/>
      <c r="Q39" s="10" t="s"/>
      <c r="R39" s="10" t="s"/>
      <c r="S39" s="10" t="s">
        <v>22</v>
      </c>
      <c r="T39" s="14" t="s">
        <v>23</v>
      </c>
      <c r="U39" s="10" t="s">
        <v>73</v>
      </c>
    </row>
  </sheetData>
  <mergeCells count="15">
    <mergeCell ref="A1:A2"/>
    <mergeCell ref="B1:B2"/>
    <mergeCell ref="C1:C2"/>
    <mergeCell ref="D1:D2"/>
    <mergeCell ref="E1:F1"/>
    <mergeCell ref="G1:H1"/>
    <mergeCell ref="I1:J1"/>
    <mergeCell ref="K1:L1"/>
    <mergeCell ref="M1:N1"/>
    <mergeCell ref="O1:P1"/>
    <mergeCell ref="Q1:R1"/>
    <mergeCell ref="S1:S2"/>
    <mergeCell ref="T1:T2"/>
    <mergeCell ref="U1:U2"/>
    <mergeCell ref="Q3:R24"/>
  </mergeCells>
</worksheet>
</file>

<file path=xl/worksheets/sheet4.xml><?xml version="1.0" encoding="utf-8"?>
<worksheet xmlns="http://schemas.openxmlformats.org/spreadsheetml/2006/main">
  <sheetPr codeName="CNSHA-CNTCG">
    <tabColor/>
  </sheetPr>
  <dimension ref="U35"/>
  <sheetViews>
    <sheetView showGridLines="true" workbookViewId="0">
      <pane ySplit="2" topLeftCell="A3" state="frozen"/>
    </sheetView>
  </sheetViews>
  <sheetFormatPr baseColWidth="13" defaultRowHeight="18" customHeight="true"/>
  <cols>
    <col min="5" max="18" width="9.03125" customWidth="true"/>
    <col min="19" max="19" width="19.6914" customWidth="true"/>
    <col min="20" max="20" width="11.6016" customWidth="true"/>
    <col min="21" max="21" width="29.1328" customWidth="true"/>
  </cols>
  <sheetData>
    <row r="1" spans="1:21">
      <c r="A1" s="4" t="s">
        <v>1</v>
      </c>
      <c r="B1" s="5" t="s">
        <v>2</v>
      </c>
      <c r="C1" s="5" t="s">
        <v>3</v>
      </c>
      <c r="D1" s="5" t="s">
        <v>4</v>
      </c>
      <c r="E1" s="5" t="s">
        <v>5</v>
      </c>
      <c r="F1" s="6" t="s"/>
      <c r="G1" s="5" t="s">
        <v>6</v>
      </c>
      <c r="H1" s="6" t="s"/>
      <c r="I1" s="5" t="s">
        <v>7</v>
      </c>
      <c r="J1" s="6" t="s"/>
      <c r="K1" s="5" t="s">
        <v>8</v>
      </c>
      <c r="L1" s="6" t="s"/>
      <c r="M1" s="5" t="s">
        <v>9</v>
      </c>
      <c r="N1" s="6" t="s"/>
      <c r="O1" s="5" t="s">
        <v>10</v>
      </c>
      <c r="P1" s="6" t="s"/>
      <c r="Q1" s="5" t="s">
        <v>11</v>
      </c>
      <c r="R1" s="6" t="s"/>
      <c r="S1" s="5" t="s">
        <v>12</v>
      </c>
      <c r="T1" s="5" t="s">
        <v>13</v>
      </c>
      <c r="U1" s="5" t="s">
        <v>14</v>
      </c>
    </row>
    <row r="2" spans="1:21">
      <c r="A2" s="7" t="s"/>
      <c r="B2" s="8" t="s"/>
      <c r="C2" s="8" t="s"/>
      <c r="D2" s="8" t="s"/>
      <c r="E2" s="9" t="s">
        <v>15</v>
      </c>
      <c r="F2" s="9" t="s">
        <v>16</v>
      </c>
      <c r="G2" s="9" t="s">
        <v>15</v>
      </c>
      <c r="H2" s="9" t="s">
        <v>16</v>
      </c>
      <c r="I2" s="9" t="s">
        <v>15</v>
      </c>
      <c r="J2" s="9" t="s">
        <v>16</v>
      </c>
      <c r="K2" s="9" t="s">
        <v>15</v>
      </c>
      <c r="L2" s="9" t="s">
        <v>16</v>
      </c>
      <c r="M2" s="9" t="s">
        <v>15</v>
      </c>
      <c r="N2" s="9" t="s">
        <v>16</v>
      </c>
      <c r="O2" s="9" t="s">
        <v>15</v>
      </c>
      <c r="P2" s="9" t="s">
        <v>16</v>
      </c>
      <c r="Q2" s="9" t="s">
        <v>15</v>
      </c>
      <c r="R2" s="9" t="s">
        <v>16</v>
      </c>
      <c r="S2" s="8" t="s"/>
      <c r="T2" s="8" t="s"/>
      <c r="U2" s="8" t="s"/>
    </row>
    <row r="3" spans="1:21" ht="19.5" customHeight="true">
      <c r="A3" s="10" t="s">
        <v>180</v>
      </c>
      <c r="B3" s="10" t="s">
        <v>18</v>
      </c>
      <c r="C3" s="10" t="s">
        <v>27</v>
      </c>
      <c r="D3" s="10" t="s">
        <v>20</v>
      </c>
      <c r="E3" s="10">
        <v>700</v>
      </c>
      <c r="F3" s="10">
        <v>800</v>
      </c>
      <c r="G3" s="10">
        <v>1050</v>
      </c>
      <c r="H3" s="10">
        <v>1000</v>
      </c>
      <c r="I3" s="10">
        <v>1350</v>
      </c>
      <c r="J3" s="10">
        <v>1600</v>
      </c>
      <c r="K3" s="10">
        <v>1300</v>
      </c>
      <c r="L3" s="10">
        <v>1800</v>
      </c>
      <c r="M3" s="10">
        <v>1250</v>
      </c>
      <c r="N3" s="10">
        <v>1700</v>
      </c>
      <c r="O3" s="10">
        <v>1300</v>
      </c>
      <c r="P3" s="10">
        <v>1800</v>
      </c>
      <c r="Q3" s="12" t="s">
        <v>21</v>
      </c>
      <c r="R3" s="10" t="s"/>
      <c r="S3" s="13" t="s">
        <v>153</v>
      </c>
      <c r="T3" s="10" t="s">
        <v>23</v>
      </c>
      <c r="U3" s="10" t="s">
        <v>90</v>
      </c>
    </row>
    <row r="4" spans="1:21">
      <c r="A4" s="10" t="s">
        <v>180</v>
      </c>
      <c r="B4" s="10" t="s">
        <v>37</v>
      </c>
      <c r="C4" s="10" t="s">
        <v>38</v>
      </c>
      <c r="D4" s="10" t="s">
        <v>20</v>
      </c>
      <c r="E4" s="10">
        <v>850</v>
      </c>
      <c r="F4" s="10">
        <v>1050</v>
      </c>
      <c r="G4" s="10">
        <v>1150</v>
      </c>
      <c r="H4" s="10">
        <v>1650</v>
      </c>
      <c r="I4" s="10">
        <v>1450</v>
      </c>
      <c r="J4" s="10">
        <v>1800</v>
      </c>
      <c r="K4" s="10">
        <v>1400</v>
      </c>
      <c r="L4" s="10">
        <v>1850</v>
      </c>
      <c r="M4" s="10">
        <v>1400</v>
      </c>
      <c r="N4" s="10">
        <v>1800</v>
      </c>
      <c r="O4" s="10">
        <v>1400</v>
      </c>
      <c r="P4" s="10">
        <v>1950</v>
      </c>
      <c r="Q4" s="10" t="s"/>
      <c r="R4" s="10" t="s"/>
      <c r="S4" s="13" t="s">
        <v>181</v>
      </c>
      <c r="T4" s="10" t="s">
        <v>23</v>
      </c>
      <c r="U4" s="10" t="s">
        <v>90</v>
      </c>
    </row>
    <row r="5" spans="1:21">
      <c r="A5" s="10" t="s">
        <v>180</v>
      </c>
      <c r="B5" s="10" t="s">
        <v>29</v>
      </c>
      <c r="C5" s="10" t="s">
        <v>35</v>
      </c>
      <c r="D5" s="10" t="s">
        <v>20</v>
      </c>
      <c r="E5" s="10">
        <v>825</v>
      </c>
      <c r="F5" s="10">
        <v>900</v>
      </c>
      <c r="G5" s="10">
        <v>1225</v>
      </c>
      <c r="H5" s="10">
        <v>1700</v>
      </c>
      <c r="I5" s="10">
        <v>1525</v>
      </c>
      <c r="J5" s="10">
        <v>2000</v>
      </c>
      <c r="K5" s="10">
        <v>1425</v>
      </c>
      <c r="L5" s="10">
        <v>2000</v>
      </c>
      <c r="M5" s="10">
        <v>1375</v>
      </c>
      <c r="N5" s="10">
        <v>1900</v>
      </c>
      <c r="O5" s="10">
        <v>1425</v>
      </c>
      <c r="P5" s="10">
        <v>2000</v>
      </c>
      <c r="Q5" s="10" t="s"/>
      <c r="R5" s="10" t="s"/>
      <c r="S5" s="13" t="s">
        <v>182</v>
      </c>
      <c r="T5" s="10" t="s">
        <v>23</v>
      </c>
      <c r="U5" s="10" t="s">
        <v>90</v>
      </c>
    </row>
    <row r="6" spans="1:21">
      <c r="A6" s="10" t="s">
        <v>180</v>
      </c>
      <c r="B6" s="10" t="s">
        <v>18</v>
      </c>
      <c r="C6" s="10" t="s">
        <v>47</v>
      </c>
      <c r="D6" s="10" t="s">
        <v>20</v>
      </c>
      <c r="E6" s="10">
        <v>950</v>
      </c>
      <c r="F6" s="10">
        <v>1000</v>
      </c>
      <c r="G6" s="10">
        <v>1350</v>
      </c>
      <c r="H6" s="10">
        <v>1800</v>
      </c>
      <c r="I6" s="10">
        <v>1650</v>
      </c>
      <c r="J6" s="10">
        <v>2100</v>
      </c>
      <c r="K6" s="10">
        <v>1550</v>
      </c>
      <c r="L6" s="10">
        <v>2100</v>
      </c>
      <c r="M6" s="10">
        <v>1500</v>
      </c>
      <c r="N6" s="10">
        <v>2000</v>
      </c>
      <c r="O6" s="10">
        <v>1550</v>
      </c>
      <c r="P6" s="10">
        <v>2100</v>
      </c>
      <c r="Q6" s="10" t="s"/>
      <c r="R6" s="10" t="s"/>
      <c r="S6" s="13" t="s">
        <v>183</v>
      </c>
      <c r="T6" s="10" t="s">
        <v>23</v>
      </c>
      <c r="U6" s="10" t="s">
        <v>90</v>
      </c>
    </row>
    <row r="7" spans="1:21">
      <c r="A7" s="10" t="s">
        <v>180</v>
      </c>
      <c r="B7" s="10" t="s">
        <v>37</v>
      </c>
      <c r="C7" s="10" t="s">
        <v>99</v>
      </c>
      <c r="D7" s="10" t="s">
        <v>20</v>
      </c>
      <c r="E7" s="10">
        <v>750</v>
      </c>
      <c r="F7" s="10">
        <v>900</v>
      </c>
      <c r="G7" s="10">
        <v>1050</v>
      </c>
      <c r="H7" s="10">
        <v>1300</v>
      </c>
      <c r="I7" s="10">
        <v>1450</v>
      </c>
      <c r="J7" s="10">
        <v>2000</v>
      </c>
      <c r="K7" s="10">
        <v>1350</v>
      </c>
      <c r="L7" s="10">
        <v>2000</v>
      </c>
      <c r="M7" s="10">
        <v>1300</v>
      </c>
      <c r="N7" s="10">
        <v>1900</v>
      </c>
      <c r="O7" s="10">
        <v>1350</v>
      </c>
      <c r="P7" s="10">
        <v>2000</v>
      </c>
      <c r="Q7" s="10" t="s"/>
      <c r="R7" s="10" t="s"/>
      <c r="S7" s="13" t="s">
        <v>184</v>
      </c>
      <c r="T7" s="10" t="s">
        <v>23</v>
      </c>
      <c r="U7" s="10" t="s">
        <v>90</v>
      </c>
    </row>
    <row r="8" spans="1:21">
      <c r="A8" s="10" t="s">
        <v>180</v>
      </c>
      <c r="B8" s="10" t="s">
        <v>37</v>
      </c>
      <c r="C8" s="10" t="s">
        <v>93</v>
      </c>
      <c r="D8" s="10" t="s">
        <v>20</v>
      </c>
      <c r="E8" s="10">
        <v>900</v>
      </c>
      <c r="F8" s="10">
        <v>1100</v>
      </c>
      <c r="G8" s="10">
        <v>900</v>
      </c>
      <c r="H8" s="10">
        <v>1100</v>
      </c>
      <c r="I8" s="10">
        <v>1600</v>
      </c>
      <c r="J8" s="10">
        <v>1900</v>
      </c>
      <c r="K8" s="10">
        <v>1500</v>
      </c>
      <c r="L8" s="10">
        <v>2200</v>
      </c>
      <c r="M8" s="10">
        <v>1450</v>
      </c>
      <c r="N8" s="10">
        <v>2100</v>
      </c>
      <c r="O8" s="10">
        <v>1500</v>
      </c>
      <c r="P8" s="10">
        <v>2200</v>
      </c>
      <c r="Q8" s="15" t="s"/>
      <c r="R8" s="15" t="s"/>
      <c r="S8" s="13" t="s">
        <v>185</v>
      </c>
      <c r="T8" s="10" t="s">
        <v>23</v>
      </c>
      <c r="U8" s="10" t="s">
        <v>90</v>
      </c>
    </row>
    <row r="9" spans="1:21" ht="27.75" customHeight="true">
      <c r="A9" s="10" t="s">
        <v>180</v>
      </c>
      <c r="B9" s="10" t="s">
        <v>18</v>
      </c>
      <c r="C9" s="10" t="s">
        <v>104</v>
      </c>
      <c r="D9" s="10" t="s">
        <v>20</v>
      </c>
      <c r="E9" s="16">
        <v>855</v>
      </c>
      <c r="F9" s="16">
        <v>1060</v>
      </c>
      <c r="G9" s="10">
        <v>705</v>
      </c>
      <c r="H9" s="10">
        <v>810</v>
      </c>
      <c r="I9" s="10">
        <v>1205</v>
      </c>
      <c r="J9" s="10">
        <v>1660</v>
      </c>
      <c r="K9" s="10">
        <v>1455</v>
      </c>
      <c r="L9" s="10">
        <v>1660</v>
      </c>
      <c r="M9" s="10">
        <v>1005</v>
      </c>
      <c r="N9" s="10">
        <v>2060</v>
      </c>
      <c r="O9" s="10">
        <v>1455</v>
      </c>
      <c r="P9" s="10">
        <v>1660</v>
      </c>
      <c r="Q9" s="15" t="s"/>
      <c r="R9" s="15" t="s"/>
      <c r="S9" s="13" t="s">
        <v>186</v>
      </c>
      <c r="T9" s="10" t="s">
        <v>23</v>
      </c>
      <c r="U9" s="10" t="s">
        <v>90</v>
      </c>
    </row>
    <row r="10" spans="1:21" ht="27.75" customHeight="true">
      <c r="A10" s="10" t="s">
        <v>180</v>
      </c>
      <c r="B10" s="10" t="s">
        <v>44</v>
      </c>
      <c r="C10" s="10" t="s">
        <v>104</v>
      </c>
      <c r="D10" s="10" t="s">
        <v>20</v>
      </c>
      <c r="E10" s="16">
        <v>960</v>
      </c>
      <c r="F10" s="16">
        <v>1045</v>
      </c>
      <c r="G10" s="10">
        <v>810</v>
      </c>
      <c r="H10" s="10">
        <v>795</v>
      </c>
      <c r="I10" s="10">
        <v>1410</v>
      </c>
      <c r="J10" s="10">
        <v>1645</v>
      </c>
      <c r="K10" s="10">
        <v>1560</v>
      </c>
      <c r="L10" s="10">
        <v>1645</v>
      </c>
      <c r="M10" s="10">
        <v>1110</v>
      </c>
      <c r="N10" s="10">
        <v>2045</v>
      </c>
      <c r="O10" s="10">
        <v>1560</v>
      </c>
      <c r="P10" s="10">
        <v>1645</v>
      </c>
      <c r="Q10" s="15" t="s"/>
      <c r="R10" s="15" t="s"/>
      <c r="S10" s="13" t="s">
        <v>186</v>
      </c>
      <c r="T10" s="10" t="s">
        <v>23</v>
      </c>
      <c r="U10" s="10" t="s">
        <v>90</v>
      </c>
    </row>
    <row r="11" spans="1:21" ht="27.75" customHeight="true">
      <c r="A11" s="10" t="s">
        <v>187</v>
      </c>
      <c r="B11" s="10" t="s">
        <v>18</v>
      </c>
      <c r="C11" s="10" t="s">
        <v>19</v>
      </c>
      <c r="D11" s="15" t="s">
        <v>188</v>
      </c>
      <c r="E11" s="10">
        <v>650</v>
      </c>
      <c r="F11" s="10">
        <v>800</v>
      </c>
      <c r="G11" s="10">
        <v>1050</v>
      </c>
      <c r="H11" s="10">
        <v>1600</v>
      </c>
      <c r="I11" s="10">
        <v>1350</v>
      </c>
      <c r="J11" s="11">
        <v>1400</v>
      </c>
      <c r="K11" s="10">
        <v>1250</v>
      </c>
      <c r="L11" s="10">
        <v>1900</v>
      </c>
      <c r="M11" s="10">
        <v>1200</v>
      </c>
      <c r="N11" s="10">
        <v>1800</v>
      </c>
      <c r="O11" s="10">
        <v>1250</v>
      </c>
      <c r="P11" s="10">
        <v>1900</v>
      </c>
      <c r="Q11" s="10" t="s"/>
      <c r="R11" s="10" t="s"/>
      <c r="S11" s="13" t="s">
        <v>72</v>
      </c>
      <c r="T11" s="10" t="s">
        <v>23</v>
      </c>
      <c r="U11" s="10" t="s">
        <v>90</v>
      </c>
    </row>
    <row r="12" spans="1:21" ht="42" customHeight="true">
      <c r="A12" s="10" t="s">
        <v>189</v>
      </c>
      <c r="B12" s="10" t="s">
        <v>18</v>
      </c>
      <c r="C12" s="10" t="s">
        <v>33</v>
      </c>
      <c r="D12" s="10" t="s">
        <v>190</v>
      </c>
      <c r="E12" s="10">
        <v>750</v>
      </c>
      <c r="F12" s="10">
        <v>900</v>
      </c>
      <c r="G12" s="10">
        <v>1200</v>
      </c>
      <c r="H12" s="10">
        <v>1700</v>
      </c>
      <c r="I12" s="10">
        <v>1450</v>
      </c>
      <c r="J12" s="10">
        <v>2000</v>
      </c>
      <c r="K12" s="10">
        <v>1350</v>
      </c>
      <c r="L12" s="10">
        <v>2000</v>
      </c>
      <c r="M12" s="10">
        <v>1300</v>
      </c>
      <c r="N12" s="10">
        <v>1900</v>
      </c>
      <c r="O12" s="10">
        <v>1400</v>
      </c>
      <c r="P12" s="10">
        <v>2000</v>
      </c>
      <c r="Q12" s="10" t="s"/>
      <c r="R12" s="10" t="s"/>
      <c r="S12" s="13" t="s">
        <v>32</v>
      </c>
      <c r="T12" s="10" t="s">
        <v>23</v>
      </c>
      <c r="U12" s="10" t="s">
        <v>90</v>
      </c>
    </row>
    <row r="13" spans="1:21" ht="27.75" customHeight="true">
      <c r="A13" s="10" t="s">
        <v>180</v>
      </c>
      <c r="B13" s="10" t="s">
        <v>29</v>
      </c>
      <c r="C13" s="10" t="s">
        <v>99</v>
      </c>
      <c r="D13" s="10" t="s">
        <v>20</v>
      </c>
      <c r="E13" s="10">
        <f>=E7+700</f>
        <v>1450</v>
      </c>
      <c r="F13" s="10">
        <f>=F7+1000</f>
        <v>1900</v>
      </c>
      <c r="G13" s="10">
        <f>=G7+700</f>
        <v>1750</v>
      </c>
      <c r="H13" s="10">
        <f>=H7+1000</f>
        <v>2300</v>
      </c>
      <c r="I13" s="10">
        <f>=I7+700</f>
        <v>2150</v>
      </c>
      <c r="J13" s="10">
        <f>=J7+1000</f>
        <v>3000</v>
      </c>
      <c r="K13" s="10">
        <f>=K7+700</f>
        <v>2050</v>
      </c>
      <c r="L13" s="10">
        <f>=L7+1000</f>
        <v>3000</v>
      </c>
      <c r="M13" s="10">
        <f>=M7+700</f>
        <v>2000</v>
      </c>
      <c r="N13" s="10">
        <f>=N7+1000</f>
        <v>2900</v>
      </c>
      <c r="O13" s="10">
        <f>=O7+700</f>
        <v>2050</v>
      </c>
      <c r="P13" s="10">
        <f>=P7+1000</f>
        <v>3000</v>
      </c>
      <c r="Q13" s="15" t="s"/>
      <c r="R13" s="15" t="s"/>
      <c r="S13" s="13" t="s">
        <v>184</v>
      </c>
      <c r="T13" s="10" t="s">
        <v>23</v>
      </c>
      <c r="U13" s="10" t="s">
        <v>191</v>
      </c>
    </row>
    <row r="14" spans="1:21" ht="27.75" customHeight="true">
      <c r="A14" s="10" t="s">
        <v>180</v>
      </c>
      <c r="B14" s="10" t="s">
        <v>18</v>
      </c>
      <c r="C14" s="10" t="s">
        <v>27</v>
      </c>
      <c r="D14" s="10" t="s">
        <v>20</v>
      </c>
      <c r="E14" s="10">
        <f>=E3+800</f>
        <v>1500</v>
      </c>
      <c r="F14" s="10">
        <f>=F3+1000</f>
        <v>1800</v>
      </c>
      <c r="G14" s="10">
        <f>=G3+700</f>
        <v>1750</v>
      </c>
      <c r="H14" s="10">
        <f>=H3+1000</f>
        <v>2000</v>
      </c>
      <c r="I14" s="10">
        <f>=I3+700</f>
        <v>2050</v>
      </c>
      <c r="J14" s="10">
        <f>=J3+1000</f>
        <v>2600</v>
      </c>
      <c r="K14" s="10">
        <f>=K3+700</f>
        <v>2000</v>
      </c>
      <c r="L14" s="10">
        <f>=L3+1000</f>
        <v>2800</v>
      </c>
      <c r="M14" s="10">
        <f>=M3+700</f>
        <v>1950</v>
      </c>
      <c r="N14" s="10">
        <f>=N3+1000</f>
        <v>2700</v>
      </c>
      <c r="O14" s="10">
        <f>=O3+700</f>
        <v>2000</v>
      </c>
      <c r="P14" s="10">
        <f>=P3+1000</f>
        <v>2800</v>
      </c>
      <c r="Q14" s="10" t="s"/>
      <c r="R14" s="10" t="s"/>
      <c r="S14" s="13" t="s">
        <v>153</v>
      </c>
      <c r="T14" s="10" t="s">
        <v>23</v>
      </c>
      <c r="U14" s="15" t="s">
        <v>54</v>
      </c>
    </row>
    <row r="15" spans="1:21" ht="40.5" customHeight="true">
      <c r="A15" s="10" t="s">
        <v>180</v>
      </c>
      <c r="B15" s="10" t="s">
        <v>18</v>
      </c>
      <c r="C15" s="10" t="s">
        <v>47</v>
      </c>
      <c r="D15" s="10" t="s">
        <v>20</v>
      </c>
      <c r="E15" s="10">
        <f>=E6+300</f>
        <v>1250</v>
      </c>
      <c r="F15" s="10">
        <f>=F6+600</f>
        <v>1600</v>
      </c>
      <c r="G15" s="10">
        <f>=G6+300</f>
        <v>1650</v>
      </c>
      <c r="H15" s="10">
        <f>=H6+600</f>
        <v>2400</v>
      </c>
      <c r="I15" s="10">
        <f>=I6+300</f>
        <v>1950</v>
      </c>
      <c r="J15" s="10">
        <f>=J6+600</f>
        <v>2700</v>
      </c>
      <c r="K15" s="10">
        <f>=K6+300</f>
        <v>1850</v>
      </c>
      <c r="L15" s="10">
        <f>=L6+600</f>
        <v>2700</v>
      </c>
      <c r="M15" s="10">
        <f>=M6+300</f>
        <v>1800</v>
      </c>
      <c r="N15" s="10">
        <f>=N6+600</f>
        <v>2600</v>
      </c>
      <c r="O15" s="10">
        <f>=O6+300</f>
        <v>1850</v>
      </c>
      <c r="P15" s="10">
        <f>=P6+600</f>
        <v>2700</v>
      </c>
      <c r="Q15" s="15" t="s"/>
      <c r="R15" s="15" t="s"/>
      <c r="S15" s="13" t="s">
        <v>183</v>
      </c>
      <c r="T15" s="10" t="s">
        <v>23</v>
      </c>
      <c r="U15" s="15" t="s">
        <v>192</v>
      </c>
    </row>
    <row r="16" spans="1:21" ht="40.5" customHeight="true">
      <c r="A16" s="10" t="s">
        <v>180</v>
      </c>
      <c r="B16" s="10" t="s">
        <v>18</v>
      </c>
      <c r="C16" s="10" t="s">
        <v>47</v>
      </c>
      <c r="D16" s="10" t="s">
        <v>20</v>
      </c>
      <c r="E16" s="10">
        <f>=E6+700</f>
        <v>1650</v>
      </c>
      <c r="F16" s="10">
        <f>=F6+900</f>
        <v>1900</v>
      </c>
      <c r="G16" s="10">
        <f>=G6+700</f>
        <v>2050</v>
      </c>
      <c r="H16" s="10">
        <f>=H6+900</f>
        <v>2700</v>
      </c>
      <c r="I16" s="10">
        <f>=I6+700</f>
        <v>2350</v>
      </c>
      <c r="J16" s="10">
        <f>=J6+900</f>
        <v>3000</v>
      </c>
      <c r="K16" s="10">
        <f>=K6+700</f>
        <v>2250</v>
      </c>
      <c r="L16" s="10">
        <f>=L6+900</f>
        <v>3000</v>
      </c>
      <c r="M16" s="10">
        <f>=M6+700</f>
        <v>2200</v>
      </c>
      <c r="N16" s="10">
        <f>=N6+900</f>
        <v>2900</v>
      </c>
      <c r="O16" s="10">
        <f>=O6+700</f>
        <v>2250</v>
      </c>
      <c r="P16" s="10">
        <f>=P6+900</f>
        <v>3000</v>
      </c>
      <c r="Q16" s="10" t="s"/>
      <c r="R16" s="10" t="s"/>
      <c r="S16" s="13" t="s">
        <v>183</v>
      </c>
      <c r="T16" s="10" t="s">
        <v>23</v>
      </c>
      <c r="U16" s="15" t="s">
        <v>193</v>
      </c>
    </row>
    <row r="17" spans="1:21">
      <c r="A17" s="10" t="s">
        <v>180</v>
      </c>
      <c r="B17" s="10" t="s">
        <v>29</v>
      </c>
      <c r="C17" s="10" t="s">
        <v>35</v>
      </c>
      <c r="D17" s="10" t="s">
        <v>20</v>
      </c>
      <c r="E17" s="10">
        <f>=E5+250</f>
        <v>1075</v>
      </c>
      <c r="F17" s="10">
        <f>=F5+500</f>
        <v>1400</v>
      </c>
      <c r="G17" s="10">
        <f>=G5+250</f>
        <v>1475</v>
      </c>
      <c r="H17" s="10">
        <f>=H5+500</f>
        <v>2200</v>
      </c>
      <c r="I17" s="10">
        <f>=I5+250</f>
        <v>1775</v>
      </c>
      <c r="J17" s="10">
        <f>=J5+500</f>
        <v>2500</v>
      </c>
      <c r="K17" s="10">
        <f>=K5+250</f>
        <v>1675</v>
      </c>
      <c r="L17" s="10">
        <f>=L5+500</f>
        <v>2500</v>
      </c>
      <c r="M17" s="10">
        <f>=M5+250</f>
        <v>1625</v>
      </c>
      <c r="N17" s="10">
        <f>=N5+500</f>
        <v>2400</v>
      </c>
      <c r="O17" s="10">
        <f>=O5+250</f>
        <v>1675</v>
      </c>
      <c r="P17" s="10">
        <f>=P5+500</f>
        <v>2500</v>
      </c>
      <c r="Q17" s="10" t="s"/>
      <c r="R17" s="10" t="s"/>
      <c r="S17" s="13" t="s">
        <v>182</v>
      </c>
      <c r="T17" s="10" t="s">
        <v>23</v>
      </c>
      <c r="U17" s="15" t="s">
        <v>194</v>
      </c>
    </row>
    <row r="18" spans="1:21">
      <c r="A18" s="10" t="s">
        <v>180</v>
      </c>
      <c r="B18" s="10" t="s">
        <v>29</v>
      </c>
      <c r="C18" s="10" t="s">
        <v>35</v>
      </c>
      <c r="D18" s="10" t="s">
        <v>20</v>
      </c>
      <c r="E18" s="10">
        <f>=E5+500</f>
        <v>1325</v>
      </c>
      <c r="F18" s="10">
        <f>=F5+1000</f>
        <v>1900</v>
      </c>
      <c r="G18" s="10">
        <f>=G5+500</f>
        <v>1725</v>
      </c>
      <c r="H18" s="10">
        <f>=H5+1000</f>
        <v>2700</v>
      </c>
      <c r="I18" s="10">
        <f>=I5+500</f>
        <v>2025</v>
      </c>
      <c r="J18" s="10">
        <f>=J5+1000</f>
        <v>3000</v>
      </c>
      <c r="K18" s="10">
        <f>=K5+500</f>
        <v>1925</v>
      </c>
      <c r="L18" s="10">
        <f>=L5+1000</f>
        <v>3000</v>
      </c>
      <c r="M18" s="10">
        <f>=M5+500</f>
        <v>1875</v>
      </c>
      <c r="N18" s="10">
        <f>=N5+1000</f>
        <v>2900</v>
      </c>
      <c r="O18" s="10">
        <f>=O5+500</f>
        <v>1925</v>
      </c>
      <c r="P18" s="10">
        <f>=P5+1000</f>
        <v>3000</v>
      </c>
      <c r="Q18" s="10" t="s"/>
      <c r="R18" s="10" t="s"/>
      <c r="S18" s="13" t="s">
        <v>182</v>
      </c>
      <c r="T18" s="10" t="s">
        <v>23</v>
      </c>
      <c r="U18" s="15" t="s">
        <v>195</v>
      </c>
    </row>
    <row r="19" spans="1:21">
      <c r="A19" s="10" t="s">
        <v>180</v>
      </c>
      <c r="B19" s="10" t="s">
        <v>55</v>
      </c>
      <c r="C19" s="10" t="s">
        <v>35</v>
      </c>
      <c r="D19" s="10" t="s">
        <v>20</v>
      </c>
      <c r="E19" s="7" t="s"/>
      <c r="F19" s="7" t="s"/>
      <c r="G19" s="7">
        <v>4100</v>
      </c>
      <c r="H19" s="7">
        <v>5250</v>
      </c>
      <c r="I19" s="7" t="s"/>
      <c r="J19" s="10" t="s"/>
      <c r="K19" s="10" t="s"/>
      <c r="L19" s="10" t="s"/>
      <c r="M19" s="10" t="s"/>
      <c r="N19" s="10" t="s"/>
      <c r="O19" s="10" t="s"/>
      <c r="P19" s="10" t="s"/>
      <c r="Q19" s="10" t="s"/>
      <c r="R19" s="10" t="s"/>
      <c r="S19" s="13" t="s">
        <v>196</v>
      </c>
      <c r="T19" s="10" t="s">
        <v>118</v>
      </c>
      <c r="U19" s="13" t="s">
        <v>135</v>
      </c>
    </row>
    <row r="20" spans="1:21">
      <c r="A20" s="10" t="s">
        <v>180</v>
      </c>
      <c r="B20" s="10" t="s">
        <v>55</v>
      </c>
      <c r="C20" s="10" t="s">
        <v>35</v>
      </c>
      <c r="D20" s="38" t="s">
        <v>20</v>
      </c>
      <c r="E20" s="10" t="s"/>
      <c r="F20" s="10" t="s"/>
      <c r="G20" s="10">
        <f>=G19+1000</f>
        <v>5100</v>
      </c>
      <c r="H20" s="10">
        <f>=H19+1500</f>
        <v>6750</v>
      </c>
      <c r="I20" s="10" t="s"/>
      <c r="J20" s="52" t="s"/>
      <c r="K20" s="10" t="s"/>
      <c r="L20" s="10" t="s"/>
      <c r="M20" s="10" t="s"/>
      <c r="N20" s="10" t="s"/>
      <c r="O20" s="10" t="s"/>
      <c r="P20" s="10" t="s"/>
      <c r="Q20" s="10" t="s"/>
      <c r="R20" s="10" t="s"/>
      <c r="S20" s="13" t="s">
        <v>196</v>
      </c>
      <c r="T20" s="10" t="s">
        <v>118</v>
      </c>
      <c r="U20" s="13" t="s">
        <v>197</v>
      </c>
    </row>
    <row r="21" spans="1:21">
      <c r="A21" s="10" t="s">
        <v>180</v>
      </c>
      <c r="B21" s="10" t="s">
        <v>67</v>
      </c>
      <c r="C21" s="10" t="s">
        <v>59</v>
      </c>
      <c r="D21" s="38" t="s">
        <v>20</v>
      </c>
      <c r="E21" s="10" t="s"/>
      <c r="F21" s="10" t="s"/>
      <c r="G21" s="53">
        <v>4300</v>
      </c>
      <c r="H21" s="53">
        <v>6500</v>
      </c>
      <c r="I21" s="10" t="s"/>
      <c r="J21" s="52" t="s"/>
      <c r="K21" s="10" t="s"/>
      <c r="L21" s="10" t="s"/>
      <c r="M21" s="10" t="s"/>
      <c r="N21" s="10" t="s"/>
      <c r="O21" s="10" t="s"/>
      <c r="P21" s="10" t="s"/>
      <c r="Q21" s="10" t="s"/>
      <c r="R21" s="10" t="s"/>
      <c r="S21" s="13" t="s">
        <v>198</v>
      </c>
      <c r="T21" s="10" t="s">
        <v>23</v>
      </c>
      <c r="U21" s="10" t="s">
        <v>119</v>
      </c>
    </row>
    <row r="22" spans="1:21">
      <c r="A22" s="10" t="s">
        <v>180</v>
      </c>
      <c r="B22" s="10" t="s">
        <v>55</v>
      </c>
      <c r="C22" s="10" t="s">
        <v>59</v>
      </c>
      <c r="D22" s="10" t="s">
        <v>20</v>
      </c>
      <c r="E22" s="48" t="s"/>
      <c r="F22" s="48" t="s"/>
      <c r="G22" s="53">
        <v>4850</v>
      </c>
      <c r="H22" s="53">
        <v>7350</v>
      </c>
      <c r="I22" s="48" t="s"/>
      <c r="J22" s="10" t="s"/>
      <c r="K22" s="10" t="s"/>
      <c r="L22" s="10" t="s"/>
      <c r="M22" s="10" t="s"/>
      <c r="N22" s="10" t="s"/>
      <c r="O22" s="10" t="s"/>
      <c r="P22" s="10" t="s"/>
      <c r="Q22" s="10" t="s"/>
      <c r="R22" s="10" t="s"/>
      <c r="S22" s="13" t="s">
        <v>198</v>
      </c>
      <c r="T22" s="10" t="s">
        <v>23</v>
      </c>
      <c r="U22" s="10" t="s">
        <v>90</v>
      </c>
    </row>
    <row r="23" spans="1:21">
      <c r="A23" s="10" t="s">
        <v>180</v>
      </c>
      <c r="B23" s="10" t="s">
        <v>55</v>
      </c>
      <c r="C23" s="10" t="s">
        <v>59</v>
      </c>
      <c r="D23" s="10" t="s">
        <v>20</v>
      </c>
      <c r="E23" s="48" t="s"/>
      <c r="F23" s="48" t="s"/>
      <c r="G23" s="10" t="s">
        <v>62</v>
      </c>
      <c r="H23" s="10" t="s">
        <v>62</v>
      </c>
      <c r="I23" s="48" t="s"/>
      <c r="J23" s="10" t="s"/>
      <c r="K23" s="10" t="s"/>
      <c r="L23" s="10" t="s"/>
      <c r="M23" s="10" t="s"/>
      <c r="N23" s="10" t="s"/>
      <c r="O23" s="10" t="s"/>
      <c r="P23" s="10" t="s"/>
      <c r="Q23" s="10" t="s"/>
      <c r="R23" s="10" t="s"/>
      <c r="S23" s="13" t="s">
        <v>198</v>
      </c>
      <c r="T23" s="10" t="s">
        <v>23</v>
      </c>
      <c r="U23" s="18" t="s">
        <v>199</v>
      </c>
    </row>
    <row r="24" spans="1:21">
      <c r="A24" s="10" t="s">
        <v>180</v>
      </c>
      <c r="B24" s="10" t="s">
        <v>55</v>
      </c>
      <c r="C24" s="10" t="s">
        <v>70</v>
      </c>
      <c r="D24" s="10" t="s">
        <v>200</v>
      </c>
      <c r="E24" s="10" t="s"/>
      <c r="F24" s="10" t="s"/>
      <c r="G24" s="16">
        <v>4050</v>
      </c>
      <c r="H24" s="16">
        <v>5450</v>
      </c>
      <c r="I24" s="10" t="s"/>
      <c r="J24" s="10" t="s"/>
      <c r="K24" s="10" t="s"/>
      <c r="L24" s="10" t="s"/>
      <c r="M24" s="10" t="s"/>
      <c r="N24" s="10" t="s"/>
      <c r="O24" s="10" t="s"/>
      <c r="P24" s="10" t="s"/>
      <c r="Q24" s="10" t="s"/>
      <c r="R24" s="10" t="s"/>
      <c r="S24" s="13" t="s">
        <v>201</v>
      </c>
      <c r="T24" s="10" t="s">
        <v>23</v>
      </c>
      <c r="U24" s="14" t="s">
        <v>73</v>
      </c>
    </row>
    <row r="25" spans="1:21">
      <c r="A25" s="10" t="s">
        <v>180</v>
      </c>
      <c r="B25" s="10" t="s">
        <v>67</v>
      </c>
      <c r="C25" s="10" t="s">
        <v>70</v>
      </c>
      <c r="D25" s="10" t="s">
        <v>200</v>
      </c>
      <c r="E25" s="10" t="s"/>
      <c r="F25" s="10" t="s"/>
      <c r="G25" s="16">
        <v>3100</v>
      </c>
      <c r="H25" s="16">
        <v>4300</v>
      </c>
      <c r="I25" s="10" t="s"/>
      <c r="J25" s="10" t="s"/>
      <c r="K25" s="10" t="s"/>
      <c r="L25" s="10" t="s"/>
      <c r="M25" s="10" t="s"/>
      <c r="N25" s="10" t="s"/>
      <c r="O25" s="10" t="s"/>
      <c r="P25" s="10" t="s"/>
      <c r="Q25" s="10" t="s"/>
      <c r="R25" s="10" t="s"/>
      <c r="S25" s="13" t="s">
        <v>201</v>
      </c>
      <c r="T25" s="10" t="s">
        <v>23</v>
      </c>
      <c r="U25" s="10" t="s">
        <v>155</v>
      </c>
    </row>
    <row r="26" spans="1:21">
      <c r="A26" s="10" t="s">
        <v>180</v>
      </c>
      <c r="B26" s="10" t="s">
        <v>67</v>
      </c>
      <c r="C26" s="10" t="s">
        <v>70</v>
      </c>
      <c r="D26" s="10" t="s">
        <v>125</v>
      </c>
      <c r="E26" s="10" t="s"/>
      <c r="F26" s="10" t="s"/>
      <c r="G26" s="54" t="s">
        <v>62</v>
      </c>
      <c r="H26" s="54" t="s">
        <v>62</v>
      </c>
      <c r="I26" s="10" t="s"/>
      <c r="J26" s="10" t="s"/>
      <c r="K26" s="10" t="s"/>
      <c r="L26" s="10" t="s"/>
      <c r="M26" s="10" t="s"/>
      <c r="N26" s="10" t="s"/>
      <c r="O26" s="10" t="s"/>
      <c r="P26" s="10" t="s"/>
      <c r="Q26" s="10" t="s"/>
      <c r="R26" s="10" t="s"/>
      <c r="S26" s="13" t="s">
        <v>202</v>
      </c>
      <c r="T26" s="10" t="s">
        <v>203</v>
      </c>
      <c r="U26" s="10" t="s">
        <v>204</v>
      </c>
    </row>
    <row r="27" spans="1:21">
      <c r="A27" s="10" t="s">
        <v>180</v>
      </c>
      <c r="B27" s="10" t="s">
        <v>55</v>
      </c>
      <c r="C27" s="10" t="s">
        <v>75</v>
      </c>
      <c r="D27" s="10" t="s">
        <v>156</v>
      </c>
      <c r="E27" s="10" t="s"/>
      <c r="F27" s="10" t="s"/>
      <c r="G27" s="16">
        <v>3950</v>
      </c>
      <c r="H27" s="16">
        <v>5650</v>
      </c>
      <c r="I27" s="10" t="s"/>
      <c r="J27" s="10" t="s"/>
      <c r="K27" s="10" t="s"/>
      <c r="L27" s="10" t="s"/>
      <c r="M27" s="10" t="s"/>
      <c r="N27" s="10" t="s"/>
      <c r="O27" s="10" t="s"/>
      <c r="P27" s="10" t="s"/>
      <c r="Q27" s="10" t="s"/>
      <c r="R27" s="10" t="s"/>
      <c r="S27" s="13" t="s">
        <v>76</v>
      </c>
      <c r="T27" s="10" t="s">
        <v>23</v>
      </c>
      <c r="U27" s="10" t="s">
        <v>73</v>
      </c>
    </row>
    <row r="28" spans="1:21">
      <c r="A28" s="7" t="s">
        <v>180</v>
      </c>
      <c r="B28" s="10" t="s">
        <v>67</v>
      </c>
      <c r="C28" s="7" t="s">
        <v>75</v>
      </c>
      <c r="D28" s="7" t="s">
        <v>156</v>
      </c>
      <c r="E28" s="7" t="s"/>
      <c r="F28" s="7" t="s"/>
      <c r="G28" s="16">
        <v>2700</v>
      </c>
      <c r="H28" s="16">
        <v>3550</v>
      </c>
      <c r="I28" s="10" t="s"/>
      <c r="J28" s="10" t="s"/>
      <c r="K28" s="10" t="s"/>
      <c r="L28" s="10" t="s"/>
      <c r="M28" s="10" t="s"/>
      <c r="N28" s="10" t="s"/>
      <c r="O28" s="10" t="s"/>
      <c r="P28" s="10" t="s"/>
      <c r="Q28" s="10" t="s"/>
      <c r="R28" s="10" t="s"/>
      <c r="S28" s="13" t="s">
        <v>76</v>
      </c>
      <c r="T28" s="10" t="s">
        <v>23</v>
      </c>
      <c r="U28" s="10" t="s">
        <v>74</v>
      </c>
    </row>
    <row r="29" spans="1:21">
      <c r="A29" s="10" t="s">
        <v>180</v>
      </c>
      <c r="B29" s="10" t="s">
        <v>55</v>
      </c>
      <c r="C29" s="10" t="s">
        <v>64</v>
      </c>
      <c r="D29" s="10" t="s">
        <v>20</v>
      </c>
      <c r="E29" s="10" t="s"/>
      <c r="F29" s="10" t="s"/>
      <c r="G29" s="16">
        <v>4235</v>
      </c>
      <c r="H29" s="16">
        <v>5735</v>
      </c>
      <c r="I29" s="10" t="s"/>
      <c r="J29" s="10" t="s"/>
      <c r="K29" s="10" t="s"/>
      <c r="L29" s="10" t="s"/>
      <c r="M29" s="10" t="s"/>
      <c r="N29" s="10" t="s"/>
      <c r="O29" s="10" t="s"/>
      <c r="P29" s="10" t="s"/>
      <c r="Q29" s="10" t="s"/>
      <c r="R29" s="10" t="s"/>
      <c r="S29" s="13" t="s">
        <v>205</v>
      </c>
      <c r="T29" s="10" t="s">
        <v>118</v>
      </c>
      <c r="U29" s="10" t="s">
        <v>66</v>
      </c>
    </row>
    <row r="30" spans="1:21">
      <c r="A30" s="10" t="s">
        <v>180</v>
      </c>
      <c r="B30" s="10" t="s">
        <v>67</v>
      </c>
      <c r="C30" s="10" t="s">
        <v>64</v>
      </c>
      <c r="D30" s="10" t="s">
        <v>68</v>
      </c>
      <c r="E30" s="10" t="s"/>
      <c r="F30" s="10" t="s"/>
      <c r="G30" s="16">
        <v>2850</v>
      </c>
      <c r="H30" s="16">
        <v>4000</v>
      </c>
      <c r="I30" s="10" t="s"/>
      <c r="J30" s="10" t="s"/>
      <c r="K30" s="10" t="s"/>
      <c r="L30" s="10" t="s"/>
      <c r="M30" s="10" t="s"/>
      <c r="N30" s="10" t="s"/>
      <c r="O30" s="10" t="s"/>
      <c r="P30" s="10" t="s"/>
      <c r="Q30" s="10" t="s"/>
      <c r="R30" s="10" t="s"/>
      <c r="S30" s="13" t="s">
        <v>206</v>
      </c>
      <c r="T30" s="10" t="s">
        <v>118</v>
      </c>
      <c r="U30" s="10" t="s">
        <v>69</v>
      </c>
    </row>
    <row r="31" spans="1:21">
      <c r="A31" s="10" t="s">
        <v>180</v>
      </c>
      <c r="B31" s="10" t="s">
        <v>55</v>
      </c>
      <c r="C31" s="10" t="s">
        <v>27</v>
      </c>
      <c r="D31" s="10" t="s">
        <v>20</v>
      </c>
      <c r="E31" s="10" t="s"/>
      <c r="F31" s="10" t="s"/>
      <c r="G31" s="21">
        <v>3760</v>
      </c>
      <c r="H31" s="21">
        <v>5360</v>
      </c>
      <c r="I31" s="43" t="s"/>
      <c r="J31" s="45" t="s"/>
      <c r="K31" s="43" t="s"/>
      <c r="L31" s="43" t="s"/>
      <c r="M31" s="43" t="s"/>
      <c r="N31" s="43" t="s"/>
      <c r="O31" s="43" t="s"/>
      <c r="P31" s="43" t="s"/>
      <c r="Q31" s="43" t="s"/>
      <c r="R31" s="43" t="s"/>
      <c r="S31" s="10" t="s">
        <v>207</v>
      </c>
      <c r="T31" s="10" t="s">
        <v>208</v>
      </c>
      <c r="U31" s="10" t="s">
        <v>90</v>
      </c>
    </row>
    <row r="32" spans="1:21">
      <c r="A32" s="10" t="s">
        <v>180</v>
      </c>
      <c r="B32" s="38" t="s">
        <v>129</v>
      </c>
      <c r="C32" s="7" t="s">
        <v>27</v>
      </c>
      <c r="D32" s="46" t="s">
        <v>20</v>
      </c>
      <c r="E32" s="7" t="s"/>
      <c r="F32" s="7" t="s"/>
      <c r="G32" s="34">
        <v>4710</v>
      </c>
      <c r="H32" s="34">
        <v>6610</v>
      </c>
      <c r="I32" s="7" t="s"/>
      <c r="J32" s="22" t="s"/>
      <c r="K32" s="7" t="s"/>
      <c r="L32" s="7" t="s"/>
      <c r="M32" s="7" t="s"/>
      <c r="N32" s="7" t="s"/>
      <c r="O32" s="7" t="s"/>
      <c r="P32" s="7" t="s"/>
      <c r="Q32" s="7" t="s"/>
      <c r="R32" s="7" t="s"/>
      <c r="S32" s="10" t="s">
        <v>207</v>
      </c>
      <c r="T32" s="10" t="s">
        <v>23</v>
      </c>
      <c r="U32" s="46" t="s">
        <v>79</v>
      </c>
    </row>
    <row r="33" spans="1:21">
      <c r="A33" s="13" t="s">
        <v>189</v>
      </c>
      <c r="B33" s="19" t="s">
        <v>67</v>
      </c>
      <c r="C33" s="18" t="s">
        <v>81</v>
      </c>
      <c r="D33" s="18" t="s">
        <v>82</v>
      </c>
      <c r="E33" s="10" t="s"/>
      <c r="F33" s="10" t="s"/>
      <c r="G33" s="10">
        <v>3300</v>
      </c>
      <c r="H33" s="10">
        <v>4600</v>
      </c>
      <c r="I33" s="10" t="s"/>
      <c r="J33" s="10" t="s"/>
      <c r="K33" s="10" t="s"/>
      <c r="L33" s="10" t="s"/>
      <c r="M33" s="10" t="s"/>
      <c r="N33" s="10" t="s"/>
      <c r="O33" s="10" t="s"/>
      <c r="P33" s="10" t="s"/>
      <c r="Q33" s="10" t="s"/>
      <c r="R33" s="10" t="s"/>
      <c r="S33" s="18" t="s">
        <v>42</v>
      </c>
      <c r="T33" s="14" t="s">
        <v>23</v>
      </c>
      <c r="U33" s="10" t="s">
        <v>74</v>
      </c>
    </row>
    <row r="34" spans="1:21">
      <c r="A34" s="13" t="s">
        <v>189</v>
      </c>
      <c r="B34" s="19" t="s">
        <v>67</v>
      </c>
      <c r="C34" s="18" t="s">
        <v>84</v>
      </c>
      <c r="D34" s="18" t="s">
        <v>20</v>
      </c>
      <c r="E34" s="10" t="s"/>
      <c r="F34" s="10" t="s"/>
      <c r="G34" s="16">
        <v>3000</v>
      </c>
      <c r="H34" s="16">
        <v>3700</v>
      </c>
      <c r="I34" s="10" t="s"/>
      <c r="J34" s="10" t="s"/>
      <c r="K34" s="10" t="s"/>
      <c r="L34" s="10" t="s"/>
      <c r="M34" s="10" t="s"/>
      <c r="N34" s="10" t="s"/>
      <c r="O34" s="10" t="s"/>
      <c r="P34" s="10" t="s"/>
      <c r="Q34" s="10" t="s"/>
      <c r="R34" s="10" t="s"/>
      <c r="S34" s="55" t="s">
        <v>153</v>
      </c>
      <c r="T34" s="14" t="s">
        <v>23</v>
      </c>
      <c r="U34" s="10" t="s">
        <v>90</v>
      </c>
    </row>
    <row r="35" spans="1:21">
      <c r="A35" s="13" t="s">
        <v>189</v>
      </c>
      <c r="B35" s="10" t="s">
        <v>55</v>
      </c>
      <c r="C35" s="18" t="s">
        <v>80</v>
      </c>
      <c r="D35" s="18" t="s">
        <v>20</v>
      </c>
      <c r="E35" s="10" t="s"/>
      <c r="F35" s="10" t="s"/>
      <c r="G35" s="16">
        <v>3550</v>
      </c>
      <c r="H35" s="16">
        <v>4500</v>
      </c>
      <c r="I35" s="10" t="s"/>
      <c r="J35" s="10" t="s"/>
      <c r="K35" s="10" t="s"/>
      <c r="L35" s="10" t="s"/>
      <c r="M35" s="10" t="s"/>
      <c r="N35" s="10" t="s"/>
      <c r="O35" s="10" t="s"/>
      <c r="P35" s="10" t="s"/>
      <c r="Q35" s="10" t="s"/>
      <c r="R35" s="10" t="s"/>
      <c r="S35" s="55" t="s">
        <v>196</v>
      </c>
      <c r="T35" s="14" t="s">
        <v>23</v>
      </c>
      <c r="U35" s="10" t="s">
        <v>74</v>
      </c>
    </row>
  </sheetData>
  <mergeCells count="15">
    <mergeCell ref="A1:A2"/>
    <mergeCell ref="B1:B2"/>
    <mergeCell ref="C1:C2"/>
    <mergeCell ref="D1:D2"/>
    <mergeCell ref="E1:F1"/>
    <mergeCell ref="G1:H1"/>
    <mergeCell ref="I1:J1"/>
    <mergeCell ref="K1:L1"/>
    <mergeCell ref="M1:N1"/>
    <mergeCell ref="O1:P1"/>
    <mergeCell ref="Q1:R1"/>
    <mergeCell ref="S1:S2"/>
    <mergeCell ref="T1:T2"/>
    <mergeCell ref="U1:U2"/>
    <mergeCell ref="Q3:R18"/>
  </mergeCells>
</worksheet>
</file>

<file path=xl/worksheets/sheet5.xml><?xml version="1.0" encoding="utf-8"?>
<worksheet xmlns="http://schemas.openxmlformats.org/spreadsheetml/2006/main">
  <sheetPr codeName="CNNGB">
    <tabColor/>
  </sheetPr>
  <dimension ref="U23"/>
  <sheetViews>
    <sheetView showGridLines="true" workbookViewId="0">
      <pane ySplit="2" topLeftCell="A3" state="frozen"/>
    </sheetView>
  </sheetViews>
  <sheetFormatPr baseColWidth="13" defaultRowHeight="18" customHeight="true"/>
  <cols>
    <col min="5" max="18" width="9.71094" customWidth="true"/>
    <col min="19" max="19" width="19.0117" customWidth="true"/>
    <col min="21" max="21" width="24.0117" customWidth="true"/>
  </cols>
  <sheetData>
    <row r="1" spans="1:21">
      <c r="A1" s="4" t="s">
        <v>1</v>
      </c>
      <c r="B1" s="4" t="s">
        <v>2</v>
      </c>
      <c r="C1" s="4" t="s">
        <v>3</v>
      </c>
      <c r="D1" s="4" t="s">
        <v>4</v>
      </c>
      <c r="E1" s="4" t="s">
        <v>5</v>
      </c>
      <c r="F1" s="10" t="s"/>
      <c r="G1" s="4" t="s">
        <v>6</v>
      </c>
      <c r="H1" s="10" t="s"/>
      <c r="I1" s="4" t="s">
        <v>7</v>
      </c>
      <c r="J1" s="10" t="s"/>
      <c r="K1" s="4" t="s">
        <v>8</v>
      </c>
      <c r="L1" s="10" t="s"/>
      <c r="M1" s="4" t="s">
        <v>9</v>
      </c>
      <c r="N1" s="10" t="s"/>
      <c r="O1" s="4" t="s">
        <v>10</v>
      </c>
      <c r="P1" s="10" t="s"/>
      <c r="Q1" s="4" t="s">
        <v>11</v>
      </c>
      <c r="R1" s="10" t="s"/>
      <c r="S1" s="4" t="s">
        <v>12</v>
      </c>
      <c r="T1" s="4" t="s">
        <v>13</v>
      </c>
      <c r="U1" s="4" t="s">
        <v>14</v>
      </c>
    </row>
    <row r="2" spans="1:21">
      <c r="A2" s="10" t="s"/>
      <c r="B2" s="10" t="s"/>
      <c r="C2" s="10" t="s"/>
      <c r="D2" s="10" t="s"/>
      <c r="E2" s="4" t="s">
        <v>15</v>
      </c>
      <c r="F2" s="4" t="s">
        <v>16</v>
      </c>
      <c r="G2" s="4" t="s">
        <v>15</v>
      </c>
      <c r="H2" s="4" t="s">
        <v>16</v>
      </c>
      <c r="I2" s="4" t="s">
        <v>15</v>
      </c>
      <c r="J2" s="4" t="s">
        <v>16</v>
      </c>
      <c r="K2" s="4" t="s">
        <v>15</v>
      </c>
      <c r="L2" s="4" t="s">
        <v>16</v>
      </c>
      <c r="M2" s="4" t="s">
        <v>15</v>
      </c>
      <c r="N2" s="4" t="s">
        <v>16</v>
      </c>
      <c r="O2" s="4" t="s">
        <v>15</v>
      </c>
      <c r="P2" s="4" t="s">
        <v>16</v>
      </c>
      <c r="Q2" s="4" t="s">
        <v>15</v>
      </c>
      <c r="R2" s="4" t="s">
        <v>16</v>
      </c>
      <c r="S2" s="10" t="s"/>
      <c r="T2" s="10" t="s"/>
      <c r="U2" s="10" t="s"/>
    </row>
    <row r="3" spans="1:21">
      <c r="A3" s="10" t="s">
        <v>163</v>
      </c>
      <c r="B3" s="10" t="s">
        <v>29</v>
      </c>
      <c r="C3" s="10" t="s">
        <v>30</v>
      </c>
      <c r="D3" s="10" t="s">
        <v>20</v>
      </c>
      <c r="E3" s="10">
        <v>750</v>
      </c>
      <c r="F3" s="10">
        <v>900</v>
      </c>
      <c r="G3" s="10">
        <v>1175</v>
      </c>
      <c r="H3" s="10">
        <v>1500</v>
      </c>
      <c r="I3" s="10">
        <v>1450</v>
      </c>
      <c r="J3" s="10">
        <v>1800</v>
      </c>
      <c r="K3" s="10">
        <v>1450</v>
      </c>
      <c r="L3" s="10">
        <v>1800</v>
      </c>
      <c r="M3" s="10">
        <v>1450</v>
      </c>
      <c r="N3" s="10">
        <v>1800</v>
      </c>
      <c r="O3" s="10">
        <v>1450</v>
      </c>
      <c r="P3" s="10">
        <v>1800</v>
      </c>
      <c r="Q3" s="15" t="s">
        <v>21</v>
      </c>
      <c r="R3" s="10" t="s"/>
      <c r="S3" s="13" t="s">
        <v>28</v>
      </c>
      <c r="T3" s="13" t="s">
        <v>23</v>
      </c>
      <c r="U3" s="10" t="s">
        <v>90</v>
      </c>
    </row>
    <row r="4" spans="1:21">
      <c r="A4" s="10" t="s">
        <v>163</v>
      </c>
      <c r="B4" s="10" t="s">
        <v>164</v>
      </c>
      <c r="C4" s="10" t="s">
        <v>165</v>
      </c>
      <c r="D4" s="10" t="s">
        <v>20</v>
      </c>
      <c r="E4" s="16">
        <v>550</v>
      </c>
      <c r="F4" s="16">
        <v>750</v>
      </c>
      <c r="G4" s="16">
        <v>950</v>
      </c>
      <c r="H4" s="16">
        <v>1550</v>
      </c>
      <c r="I4" s="16">
        <v>1250</v>
      </c>
      <c r="J4" s="16">
        <v>1850</v>
      </c>
      <c r="K4" s="16">
        <v>1150</v>
      </c>
      <c r="L4" s="16">
        <v>1850</v>
      </c>
      <c r="M4" s="16">
        <v>1100</v>
      </c>
      <c r="N4" s="16">
        <v>1750</v>
      </c>
      <c r="O4" s="16">
        <v>1150</v>
      </c>
      <c r="P4" s="16">
        <v>1750</v>
      </c>
      <c r="Q4" s="10" t="s"/>
      <c r="R4" s="10" t="s"/>
      <c r="S4" s="13" t="s">
        <v>76</v>
      </c>
      <c r="T4" s="13" t="s">
        <v>23</v>
      </c>
      <c r="U4" s="10" t="s">
        <v>90</v>
      </c>
    </row>
    <row r="5" spans="1:22">
      <c r="A5" s="10" t="s">
        <v>163</v>
      </c>
      <c r="B5" s="10" t="s">
        <v>166</v>
      </c>
      <c r="C5" s="10" t="s">
        <v>167</v>
      </c>
      <c r="D5" s="10" t="s">
        <v>20</v>
      </c>
      <c r="E5" s="16">
        <v>650</v>
      </c>
      <c r="F5" s="16">
        <v>750</v>
      </c>
      <c r="G5" s="16">
        <v>1050</v>
      </c>
      <c r="H5" s="16">
        <v>1550</v>
      </c>
      <c r="I5" s="16">
        <v>1350</v>
      </c>
      <c r="J5" s="16">
        <v>1850</v>
      </c>
      <c r="K5" s="16">
        <v>1250</v>
      </c>
      <c r="L5" s="16">
        <v>1850</v>
      </c>
      <c r="M5" s="16">
        <v>1200</v>
      </c>
      <c r="N5" s="16">
        <v>1750</v>
      </c>
      <c r="O5" s="16">
        <v>1250</v>
      </c>
      <c r="P5" s="16">
        <v>1850</v>
      </c>
      <c r="Q5" s="15" t="s"/>
      <c r="R5" s="15" t="s"/>
      <c r="S5" s="13" t="s">
        <v>32</v>
      </c>
      <c r="T5" s="13" t="s">
        <v>23</v>
      </c>
      <c r="U5" s="13" t="s">
        <v>168</v>
      </c>
      <c r="V5" s="13" t="s">
        <v>118</v>
      </c>
    </row>
    <row r="6" spans="1:21">
      <c r="A6" s="10" t="s">
        <v>163</v>
      </c>
      <c r="B6" s="10" t="s">
        <v>18</v>
      </c>
      <c r="C6" s="10" t="s">
        <v>33</v>
      </c>
      <c r="D6" s="10" t="s">
        <v>31</v>
      </c>
      <c r="E6" s="10">
        <v>750</v>
      </c>
      <c r="F6" s="10">
        <v>900</v>
      </c>
      <c r="G6" s="10">
        <v>1150</v>
      </c>
      <c r="H6" s="10">
        <v>1700</v>
      </c>
      <c r="I6" s="10">
        <v>1450</v>
      </c>
      <c r="J6" s="10">
        <v>2000</v>
      </c>
      <c r="K6" s="10">
        <v>1350</v>
      </c>
      <c r="L6" s="10">
        <v>2000</v>
      </c>
      <c r="M6" s="10">
        <v>1300</v>
      </c>
      <c r="N6" s="10">
        <v>1900</v>
      </c>
      <c r="O6" s="10">
        <v>1350</v>
      </c>
      <c r="P6" s="10">
        <v>2000</v>
      </c>
      <c r="Q6" s="10" t="s"/>
      <c r="R6" s="10" t="s"/>
      <c r="S6" s="13" t="s">
        <v>32</v>
      </c>
      <c r="T6" s="13" t="s">
        <v>23</v>
      </c>
      <c r="U6" s="10" t="s">
        <v>90</v>
      </c>
    </row>
    <row r="7" spans="1:21">
      <c r="A7" s="10" t="s">
        <v>163</v>
      </c>
      <c r="B7" s="10" t="s">
        <v>18</v>
      </c>
      <c r="C7" s="10" t="s">
        <v>80</v>
      </c>
      <c r="D7" s="15" t="s">
        <v>20</v>
      </c>
      <c r="E7" s="10">
        <v>750</v>
      </c>
      <c r="F7" s="10">
        <v>975</v>
      </c>
      <c r="G7" s="10">
        <v>1150</v>
      </c>
      <c r="H7" s="10">
        <v>1775</v>
      </c>
      <c r="I7" s="10">
        <v>1450</v>
      </c>
      <c r="J7" s="10">
        <v>2075</v>
      </c>
      <c r="K7" s="10">
        <v>1350</v>
      </c>
      <c r="L7" s="10">
        <v>2075</v>
      </c>
      <c r="M7" s="10">
        <v>1300</v>
      </c>
      <c r="N7" s="10">
        <v>1975</v>
      </c>
      <c r="O7" s="10">
        <v>1350</v>
      </c>
      <c r="P7" s="10">
        <v>2075</v>
      </c>
      <c r="Q7" s="10" t="s"/>
      <c r="R7" s="10" t="s"/>
      <c r="S7" s="13" t="s">
        <v>76</v>
      </c>
      <c r="T7" s="13" t="s">
        <v>23</v>
      </c>
      <c r="U7" s="10" t="s">
        <v>90</v>
      </c>
    </row>
    <row r="8" spans="1:21">
      <c r="A8" s="10" t="s">
        <v>163</v>
      </c>
      <c r="B8" s="10" t="s">
        <v>18</v>
      </c>
      <c r="C8" s="10" t="s">
        <v>47</v>
      </c>
      <c r="D8" s="10" t="s">
        <v>20</v>
      </c>
      <c r="E8" s="10">
        <v>950</v>
      </c>
      <c r="F8" s="10">
        <v>1000</v>
      </c>
      <c r="G8" s="10">
        <v>1350</v>
      </c>
      <c r="H8" s="10">
        <v>1800</v>
      </c>
      <c r="I8" s="10">
        <v>1650</v>
      </c>
      <c r="J8" s="10">
        <v>2100</v>
      </c>
      <c r="K8" s="10">
        <v>1550</v>
      </c>
      <c r="L8" s="10">
        <v>2100</v>
      </c>
      <c r="M8" s="10">
        <v>1500</v>
      </c>
      <c r="N8" s="10">
        <v>2000</v>
      </c>
      <c r="O8" s="10">
        <v>1550</v>
      </c>
      <c r="P8" s="10">
        <v>2100</v>
      </c>
      <c r="Q8" s="10" t="s"/>
      <c r="R8" s="10" t="s"/>
      <c r="S8" s="13" t="s">
        <v>169</v>
      </c>
      <c r="T8" s="13" t="s">
        <v>23</v>
      </c>
      <c r="U8" s="10" t="s">
        <v>90</v>
      </c>
    </row>
    <row r="9" spans="1:21">
      <c r="A9" s="10" t="s">
        <v>163</v>
      </c>
      <c r="B9" s="10" t="s">
        <v>29</v>
      </c>
      <c r="C9" s="10" t="s">
        <v>35</v>
      </c>
      <c r="D9" s="10" t="s">
        <v>20</v>
      </c>
      <c r="E9" s="10">
        <v>825</v>
      </c>
      <c r="F9" s="10">
        <v>900</v>
      </c>
      <c r="G9" s="10">
        <v>1325</v>
      </c>
      <c r="H9" s="10">
        <v>1700</v>
      </c>
      <c r="I9" s="10">
        <v>1525</v>
      </c>
      <c r="J9" s="10">
        <v>2000</v>
      </c>
      <c r="K9" s="10">
        <v>1425</v>
      </c>
      <c r="L9" s="10">
        <v>2000</v>
      </c>
      <c r="M9" s="10">
        <v>1375</v>
      </c>
      <c r="N9" s="10">
        <v>1900</v>
      </c>
      <c r="O9" s="10">
        <v>1425</v>
      </c>
      <c r="P9" s="10">
        <v>2000</v>
      </c>
      <c r="Q9" s="10" t="s"/>
      <c r="R9" s="10" t="s"/>
      <c r="S9" s="13" t="s">
        <v>76</v>
      </c>
      <c r="T9" s="13" t="s">
        <v>23</v>
      </c>
      <c r="U9" s="10" t="s">
        <v>90</v>
      </c>
    </row>
    <row r="10" spans="1:21">
      <c r="A10" s="10" t="s">
        <v>163</v>
      </c>
      <c r="B10" s="10" t="s">
        <v>43</v>
      </c>
      <c r="C10" s="10" t="s">
        <v>80</v>
      </c>
      <c r="D10" s="10" t="s">
        <v>20</v>
      </c>
      <c r="E10" s="10">
        <v>750</v>
      </c>
      <c r="F10" s="10">
        <v>975</v>
      </c>
      <c r="G10" s="10">
        <v>1150</v>
      </c>
      <c r="H10" s="10">
        <v>1775</v>
      </c>
      <c r="I10" s="10">
        <v>1450</v>
      </c>
      <c r="J10" s="10">
        <v>2075</v>
      </c>
      <c r="K10" s="10">
        <v>1350</v>
      </c>
      <c r="L10" s="10">
        <v>2075</v>
      </c>
      <c r="M10" s="10">
        <v>1300</v>
      </c>
      <c r="N10" s="10">
        <v>1975</v>
      </c>
      <c r="O10" s="10">
        <v>1350</v>
      </c>
      <c r="P10" s="10">
        <v>2075</v>
      </c>
      <c r="Q10" s="10" t="s"/>
      <c r="R10" s="10" t="s"/>
      <c r="S10" s="13" t="s">
        <v>170</v>
      </c>
      <c r="T10" s="13" t="s">
        <v>118</v>
      </c>
      <c r="U10" s="10" t="s">
        <v>90</v>
      </c>
    </row>
    <row r="11" spans="1:21">
      <c r="A11" s="10" t="s">
        <v>163</v>
      </c>
      <c r="B11" s="10" t="s">
        <v>29</v>
      </c>
      <c r="C11" s="10" t="s">
        <v>99</v>
      </c>
      <c r="D11" s="10" t="s">
        <v>20</v>
      </c>
      <c r="E11" s="10">
        <v>750</v>
      </c>
      <c r="F11" s="10">
        <v>950</v>
      </c>
      <c r="G11" s="10">
        <v>1050</v>
      </c>
      <c r="H11" s="10">
        <v>1300</v>
      </c>
      <c r="I11" s="10">
        <v>1450</v>
      </c>
      <c r="J11" s="10">
        <v>2050</v>
      </c>
      <c r="K11" s="10">
        <v>1350</v>
      </c>
      <c r="L11" s="10">
        <v>2050</v>
      </c>
      <c r="M11" s="10">
        <v>1300</v>
      </c>
      <c r="N11" s="10">
        <v>1950</v>
      </c>
      <c r="O11" s="10">
        <v>1350</v>
      </c>
      <c r="P11" s="10">
        <v>2050</v>
      </c>
      <c r="Q11" s="10" t="s"/>
      <c r="R11" s="10" t="s"/>
      <c r="S11" s="10" t="s">
        <v>171</v>
      </c>
      <c r="T11" s="13" t="s">
        <v>23</v>
      </c>
      <c r="U11" s="10" t="s">
        <v>90</v>
      </c>
    </row>
    <row r="12" spans="1:21">
      <c r="A12" s="10" t="s">
        <v>163</v>
      </c>
      <c r="B12" s="10" t="s">
        <v>55</v>
      </c>
      <c r="C12" s="10" t="s">
        <v>35</v>
      </c>
      <c r="D12" s="10" t="s">
        <v>20</v>
      </c>
      <c r="E12" s="10" t="s"/>
      <c r="F12" s="10" t="s"/>
      <c r="G12" s="10">
        <v>4200</v>
      </c>
      <c r="H12" s="10">
        <v>5650</v>
      </c>
      <c r="I12" s="10" t="s"/>
      <c r="J12" s="10" t="s"/>
      <c r="K12" s="10" t="s"/>
      <c r="L12" s="10" t="s"/>
      <c r="M12" s="10" t="s"/>
      <c r="N12" s="10" t="s"/>
      <c r="O12" s="10" t="s"/>
      <c r="P12" s="10" t="s"/>
      <c r="Q12" s="10" t="s"/>
      <c r="R12" s="10" t="s"/>
      <c r="S12" s="13" t="s">
        <v>34</v>
      </c>
      <c r="T12" s="13" t="s">
        <v>23</v>
      </c>
      <c r="U12" s="13" t="s">
        <v>135</v>
      </c>
    </row>
    <row r="13" spans="1:21">
      <c r="A13" s="10" t="s">
        <v>163</v>
      </c>
      <c r="B13" s="10" t="s">
        <v>67</v>
      </c>
      <c r="C13" s="10" t="s">
        <v>35</v>
      </c>
      <c r="D13" s="10" t="s">
        <v>20</v>
      </c>
      <c r="E13" s="10" t="s"/>
      <c r="F13" s="10" t="s"/>
      <c r="G13" s="39">
        <v>3000</v>
      </c>
      <c r="H13" s="16">
        <v>4100</v>
      </c>
      <c r="I13" s="10" t="s"/>
      <c r="J13" s="10" t="s"/>
      <c r="K13" s="10" t="s"/>
      <c r="L13" s="10" t="s"/>
      <c r="M13" s="10" t="s"/>
      <c r="N13" s="10" t="s"/>
      <c r="O13" s="10" t="s"/>
      <c r="P13" s="10" t="s"/>
      <c r="Q13" s="10" t="s"/>
      <c r="R13" s="10" t="s"/>
      <c r="S13" s="10" t="s">
        <v>172</v>
      </c>
      <c r="T13" s="13" t="s">
        <v>118</v>
      </c>
      <c r="U13" s="14" t="s">
        <v>74</v>
      </c>
    </row>
    <row r="14" spans="1:21">
      <c r="A14" s="10" t="s">
        <v>163</v>
      </c>
      <c r="B14" s="10" t="s">
        <v>55</v>
      </c>
      <c r="C14" s="10" t="s">
        <v>59</v>
      </c>
      <c r="D14" s="10" t="s">
        <v>20</v>
      </c>
      <c r="E14" s="10" t="s"/>
      <c r="F14" s="10" t="s"/>
      <c r="G14" s="49">
        <v>4850</v>
      </c>
      <c r="H14" s="49">
        <v>7350</v>
      </c>
      <c r="I14" s="10" t="s"/>
      <c r="J14" s="10" t="s"/>
      <c r="K14" s="10" t="s"/>
      <c r="L14" s="10" t="s"/>
      <c r="M14" s="10" t="s"/>
      <c r="N14" s="10" t="s"/>
      <c r="O14" s="10" t="s"/>
      <c r="P14" s="10" t="s"/>
      <c r="Q14" s="10" t="s"/>
      <c r="R14" s="10" t="s"/>
      <c r="S14" s="13" t="s">
        <v>173</v>
      </c>
      <c r="T14" s="13" t="s">
        <v>174</v>
      </c>
      <c r="U14" s="14" t="s">
        <v>90</v>
      </c>
    </row>
    <row r="15" spans="1:21">
      <c r="A15" s="10" t="s">
        <v>163</v>
      </c>
      <c r="B15" s="10" t="s">
        <v>67</v>
      </c>
      <c r="C15" s="10" t="s">
        <v>59</v>
      </c>
      <c r="D15" s="10" t="s">
        <v>20</v>
      </c>
      <c r="E15" s="10" t="s"/>
      <c r="F15" s="10" t="s"/>
      <c r="G15" s="49">
        <v>4400</v>
      </c>
      <c r="H15" s="49">
        <v>6600</v>
      </c>
      <c r="I15" s="10" t="s"/>
      <c r="J15" s="10" t="s"/>
      <c r="K15" s="10" t="s"/>
      <c r="L15" s="10" t="s"/>
      <c r="M15" s="10" t="s"/>
      <c r="N15" s="10" t="s"/>
      <c r="O15" s="10" t="s"/>
      <c r="P15" s="10" t="s"/>
      <c r="Q15" s="10" t="s"/>
      <c r="R15" s="10" t="s"/>
      <c r="S15" s="13" t="s">
        <v>173</v>
      </c>
      <c r="T15" s="13" t="s">
        <v>174</v>
      </c>
      <c r="U15" s="14" t="s">
        <v>74</v>
      </c>
    </row>
    <row r="16" spans="1:21">
      <c r="A16" s="10" t="s">
        <v>163</v>
      </c>
      <c r="B16" s="10" t="s">
        <v>55</v>
      </c>
      <c r="C16" s="10" t="s">
        <v>70</v>
      </c>
      <c r="D16" s="10" t="s">
        <v>175</v>
      </c>
      <c r="E16" s="10" t="s"/>
      <c r="F16" s="10" t="s"/>
      <c r="G16" s="39">
        <v>4050</v>
      </c>
      <c r="H16" s="39">
        <v>5450</v>
      </c>
      <c r="I16" s="10" t="s"/>
      <c r="J16" s="10" t="s"/>
      <c r="K16" s="10" t="s"/>
      <c r="L16" s="10" t="s"/>
      <c r="M16" s="10" t="s"/>
      <c r="N16" s="10" t="s"/>
      <c r="O16" s="10" t="s"/>
      <c r="P16" s="10" t="s"/>
      <c r="Q16" s="10" t="s"/>
      <c r="R16" s="10" t="s"/>
      <c r="S16" s="13" t="s">
        <v>72</v>
      </c>
      <c r="T16" s="13" t="s">
        <v>23</v>
      </c>
      <c r="U16" s="14" t="s">
        <v>73</v>
      </c>
    </row>
    <row r="17" spans="1:21">
      <c r="A17" s="10" t="s">
        <v>163</v>
      </c>
      <c r="B17" s="10" t="s">
        <v>67</v>
      </c>
      <c r="C17" s="10" t="s">
        <v>70</v>
      </c>
      <c r="D17" s="10" t="s">
        <v>175</v>
      </c>
      <c r="E17" s="10" t="s"/>
      <c r="F17" s="10" t="s"/>
      <c r="G17" s="39">
        <v>3100</v>
      </c>
      <c r="H17" s="39">
        <v>4300</v>
      </c>
      <c r="I17" s="10" t="s"/>
      <c r="J17" s="10" t="s"/>
      <c r="K17" s="10" t="s"/>
      <c r="L17" s="10" t="s"/>
      <c r="M17" s="10" t="s"/>
      <c r="N17" s="10" t="s"/>
      <c r="O17" s="10" t="s"/>
      <c r="P17" s="10" t="s"/>
      <c r="Q17" s="10" t="s"/>
      <c r="R17" s="10" t="s"/>
      <c r="S17" s="13" t="s">
        <v>72</v>
      </c>
      <c r="T17" s="13" t="s">
        <v>23</v>
      </c>
      <c r="U17" s="14" t="s">
        <v>74</v>
      </c>
    </row>
    <row r="18" spans="1:21">
      <c r="A18" s="10" t="s">
        <v>163</v>
      </c>
      <c r="B18" s="10" t="s">
        <v>55</v>
      </c>
      <c r="C18" s="10" t="s">
        <v>75</v>
      </c>
      <c r="D18" s="10" t="s">
        <v>176</v>
      </c>
      <c r="E18" s="10" t="s"/>
      <c r="F18" s="10" t="s"/>
      <c r="G18" s="41">
        <v>3950</v>
      </c>
      <c r="H18" s="41">
        <v>5650</v>
      </c>
      <c r="I18" s="10" t="s"/>
      <c r="J18" s="10" t="s"/>
      <c r="K18" s="10" t="s"/>
      <c r="L18" s="10" t="s"/>
      <c r="M18" s="10" t="s"/>
      <c r="N18" s="10" t="s"/>
      <c r="O18" s="10" t="s"/>
      <c r="P18" s="10" t="s"/>
      <c r="Q18" s="10" t="s"/>
      <c r="R18" s="10" t="s"/>
      <c r="S18" s="13" t="s">
        <v>157</v>
      </c>
      <c r="T18" s="13" t="s">
        <v>23</v>
      </c>
      <c r="U18" s="14" t="s">
        <v>73</v>
      </c>
    </row>
    <row r="19" spans="1:21">
      <c r="A19" s="7" t="s">
        <v>163</v>
      </c>
      <c r="B19" s="7" t="s">
        <v>67</v>
      </c>
      <c r="C19" s="7" t="s">
        <v>75</v>
      </c>
      <c r="D19" s="7" t="s">
        <v>176</v>
      </c>
      <c r="E19" s="7" t="s"/>
      <c r="F19" s="7" t="s"/>
      <c r="G19" s="50">
        <v>2700</v>
      </c>
      <c r="H19" s="50">
        <v>3550</v>
      </c>
      <c r="I19" s="7" t="s"/>
      <c r="J19" s="7" t="s"/>
      <c r="K19" s="7" t="s"/>
      <c r="L19" s="7" t="s"/>
      <c r="M19" s="7" t="s"/>
      <c r="N19" s="7" t="s"/>
      <c r="O19" s="7" t="s"/>
      <c r="P19" s="7" t="s"/>
      <c r="Q19" s="7" t="s"/>
      <c r="R19" s="7" t="s"/>
      <c r="S19" s="20" t="s">
        <v>157</v>
      </c>
      <c r="T19" s="20" t="s">
        <v>23</v>
      </c>
      <c r="U19" s="51" t="s">
        <v>74</v>
      </c>
    </row>
    <row r="20" spans="1:21">
      <c r="A20" s="10" t="s">
        <v>163</v>
      </c>
      <c r="B20" s="10" t="s">
        <v>67</v>
      </c>
      <c r="C20" s="10" t="s">
        <v>84</v>
      </c>
      <c r="D20" s="10" t="s">
        <v>177</v>
      </c>
      <c r="E20" s="10" t="s"/>
      <c r="F20" s="10" t="s"/>
      <c r="G20" s="16">
        <v>3000</v>
      </c>
      <c r="H20" s="16">
        <v>3700</v>
      </c>
      <c r="I20" s="10" t="s"/>
      <c r="J20" s="10" t="s"/>
      <c r="K20" s="10" t="s"/>
      <c r="L20" s="10" t="s"/>
      <c r="M20" s="10" t="s"/>
      <c r="N20" s="10" t="s"/>
      <c r="O20" s="10" t="s"/>
      <c r="P20" s="10" t="s"/>
      <c r="Q20" s="10" t="s"/>
      <c r="R20" s="10" t="s"/>
      <c r="S20" s="10" t="s">
        <v>22</v>
      </c>
      <c r="T20" s="13" t="s">
        <v>23</v>
      </c>
      <c r="U20" s="10" t="s">
        <v>74</v>
      </c>
    </row>
    <row r="21" spans="1:21">
      <c r="A21" s="10" t="s">
        <v>163</v>
      </c>
      <c r="B21" s="19" t="s">
        <v>67</v>
      </c>
      <c r="C21" s="18" t="s">
        <v>81</v>
      </c>
      <c r="D21" s="18" t="s">
        <v>82</v>
      </c>
      <c r="E21" s="10" t="s"/>
      <c r="F21" s="10" t="s"/>
      <c r="G21" s="10">
        <v>3300</v>
      </c>
      <c r="H21" s="10">
        <v>4600</v>
      </c>
      <c r="I21" s="10" t="s"/>
      <c r="J21" s="10" t="s"/>
      <c r="K21" s="10" t="s"/>
      <c r="L21" s="10" t="s"/>
      <c r="M21" s="10" t="s"/>
      <c r="N21" s="10" t="s"/>
      <c r="O21" s="10" t="s"/>
      <c r="P21" s="10" t="s"/>
      <c r="Q21" s="10" t="s"/>
      <c r="R21" s="10" t="s"/>
      <c r="S21" s="18" t="s">
        <v>32</v>
      </c>
      <c r="T21" s="13" t="s">
        <v>23</v>
      </c>
      <c r="U21" s="10" t="s">
        <v>74</v>
      </c>
    </row>
    <row r="22" spans="1:21">
      <c r="A22" s="10" t="s">
        <v>163</v>
      </c>
      <c r="B22" s="10" t="s">
        <v>55</v>
      </c>
      <c r="C22" s="10" t="s">
        <v>27</v>
      </c>
      <c r="D22" s="10" t="s">
        <v>20</v>
      </c>
      <c r="E22" s="10" t="s"/>
      <c r="F22" s="10" t="s"/>
      <c r="G22" s="16">
        <v>3760</v>
      </c>
      <c r="H22" s="16">
        <v>5360</v>
      </c>
      <c r="I22" s="10" t="s"/>
      <c r="J22" s="10" t="s"/>
      <c r="K22" s="10" t="s"/>
      <c r="L22" s="10" t="s"/>
      <c r="M22" s="10" t="s"/>
      <c r="N22" s="10" t="s"/>
      <c r="O22" s="10" t="s"/>
      <c r="P22" s="10" t="s"/>
      <c r="Q22" s="10" t="s"/>
      <c r="R22" s="10" t="s"/>
      <c r="S22" s="10" t="s">
        <v>178</v>
      </c>
      <c r="T22" s="10" t="s">
        <v>179</v>
      </c>
      <c r="U22" s="10" t="s">
        <v>90</v>
      </c>
    </row>
    <row r="23" spans="1:21">
      <c r="A23" s="10" t="s">
        <v>163</v>
      </c>
      <c r="B23" s="10" t="s">
        <v>129</v>
      </c>
      <c r="C23" s="10" t="s">
        <v>27</v>
      </c>
      <c r="D23" s="18" t="s">
        <v>20</v>
      </c>
      <c r="E23" s="10" t="s"/>
      <c r="F23" s="10" t="s"/>
      <c r="G23" s="16">
        <v>4710</v>
      </c>
      <c r="H23" s="16">
        <v>6610</v>
      </c>
      <c r="I23" s="10" t="s"/>
      <c r="J23" s="10" t="s"/>
      <c r="K23" s="10" t="s"/>
      <c r="L23" s="10" t="s"/>
      <c r="M23" s="10" t="s"/>
      <c r="N23" s="10" t="s"/>
      <c r="O23" s="10" t="s"/>
      <c r="P23" s="10" t="s"/>
      <c r="Q23" s="10" t="s"/>
      <c r="R23" s="10" t="s"/>
      <c r="S23" s="10" t="s">
        <v>178</v>
      </c>
      <c r="T23" s="10" t="s">
        <v>179</v>
      </c>
      <c r="U23" s="18" t="s">
        <v>79</v>
      </c>
    </row>
  </sheetData>
  <mergeCells count="15">
    <mergeCell ref="A1:A2"/>
    <mergeCell ref="B1:B2"/>
    <mergeCell ref="C1:C2"/>
    <mergeCell ref="D1:D2"/>
    <mergeCell ref="E1:F1"/>
    <mergeCell ref="G1:H1"/>
    <mergeCell ref="I1:J1"/>
    <mergeCell ref="K1:L1"/>
    <mergeCell ref="M1:N1"/>
    <mergeCell ref="O1:P1"/>
    <mergeCell ref="Q1:R1"/>
    <mergeCell ref="S1:S2"/>
    <mergeCell ref="T1:T2"/>
    <mergeCell ref="U1:U2"/>
    <mergeCell ref="Q3:R11"/>
  </mergeCells>
</worksheet>
</file>

<file path=xl/worksheets/sheet6.xml><?xml version="1.0" encoding="utf-8"?>
<worksheet xmlns="http://schemas.openxmlformats.org/spreadsheetml/2006/main">
  <sheetPr codeName="CNXMN">
    <tabColor/>
  </sheetPr>
  <dimension ref="T11"/>
  <sheetViews>
    <sheetView showGridLines="true" workbookViewId="0"/>
  </sheetViews>
  <sheetFormatPr baseColWidth="13" defaultRowHeight="18" customHeight="true"/>
  <cols>
    <col min="5" max="18" width="10.1133" customWidth="true"/>
    <col min="19" max="19" width="16.1836" customWidth="true"/>
    <col min="21" max="21" width="22.793" customWidth="true"/>
  </cols>
  <sheetData>
    <row r="1" spans="1:21">
      <c r="A1" s="4" t="s">
        <v>1</v>
      </c>
      <c r="B1" s="5" t="s">
        <v>2</v>
      </c>
      <c r="C1" s="5" t="s">
        <v>3</v>
      </c>
      <c r="D1" s="5" t="s">
        <v>4</v>
      </c>
      <c r="E1" s="5" t="s">
        <v>5</v>
      </c>
      <c r="F1" s="6" t="s"/>
      <c r="G1" s="5" t="s">
        <v>6</v>
      </c>
      <c r="H1" s="6" t="s"/>
      <c r="I1" s="5" t="s">
        <v>7</v>
      </c>
      <c r="J1" s="6" t="s"/>
      <c r="K1" s="5" t="s">
        <v>8</v>
      </c>
      <c r="L1" s="6" t="s"/>
      <c r="M1" s="5" t="s">
        <v>9</v>
      </c>
      <c r="N1" s="6" t="s"/>
      <c r="O1" s="5" t="s">
        <v>10</v>
      </c>
      <c r="P1" s="6" t="s"/>
      <c r="Q1" s="5" t="s">
        <v>11</v>
      </c>
      <c r="R1" s="6" t="s"/>
      <c r="S1" s="5" t="s">
        <v>12</v>
      </c>
      <c r="T1" s="5" t="s">
        <v>13</v>
      </c>
      <c r="U1" s="5" t="s">
        <v>14</v>
      </c>
    </row>
    <row r="2" spans="1:21">
      <c r="A2" s="7" t="s"/>
      <c r="B2" s="8" t="s"/>
      <c r="C2" s="8" t="s"/>
      <c r="D2" s="8" t="s"/>
      <c r="E2" s="9" t="s">
        <v>15</v>
      </c>
      <c r="F2" s="9" t="s">
        <v>16</v>
      </c>
      <c r="G2" s="9" t="s">
        <v>15</v>
      </c>
      <c r="H2" s="9" t="s">
        <v>16</v>
      </c>
      <c r="I2" s="9" t="s">
        <v>15</v>
      </c>
      <c r="J2" s="9" t="s">
        <v>16</v>
      </c>
      <c r="K2" s="9" t="s">
        <v>15</v>
      </c>
      <c r="L2" s="9" t="s">
        <v>16</v>
      </c>
      <c r="M2" s="9" t="s">
        <v>15</v>
      </c>
      <c r="N2" s="9" t="s">
        <v>16</v>
      </c>
      <c r="O2" s="9" t="s">
        <v>15</v>
      </c>
      <c r="P2" s="9" t="s">
        <v>16</v>
      </c>
      <c r="Q2" s="9" t="s">
        <v>15</v>
      </c>
      <c r="R2" s="9" t="s">
        <v>16</v>
      </c>
      <c r="S2" s="8" t="s"/>
      <c r="T2" s="8" t="s"/>
      <c r="U2" s="6" t="s"/>
    </row>
    <row r="3" spans="1:21">
      <c r="A3" s="10" t="s">
        <v>227</v>
      </c>
      <c r="B3" s="10" t="s">
        <v>29</v>
      </c>
      <c r="C3" s="10" t="s">
        <v>35</v>
      </c>
      <c r="D3" s="10" t="s">
        <v>20</v>
      </c>
      <c r="E3" s="10">
        <v>925</v>
      </c>
      <c r="F3" s="10">
        <v>1000</v>
      </c>
      <c r="G3" s="10">
        <v>1375</v>
      </c>
      <c r="H3" s="10">
        <v>1800</v>
      </c>
      <c r="I3" s="10">
        <v>1675</v>
      </c>
      <c r="J3" s="10">
        <v>2300</v>
      </c>
      <c r="K3" s="10">
        <v>1575</v>
      </c>
      <c r="L3" s="10">
        <v>2300</v>
      </c>
      <c r="M3" s="10">
        <v>1525</v>
      </c>
      <c r="N3" s="10">
        <v>2100</v>
      </c>
      <c r="O3" s="10">
        <v>1575</v>
      </c>
      <c r="P3" s="10">
        <v>2300</v>
      </c>
      <c r="Q3" s="15" t="s">
        <v>21</v>
      </c>
      <c r="R3" s="10" t="s"/>
      <c r="S3" s="13" t="s">
        <v>228</v>
      </c>
      <c r="T3" s="18" t="s">
        <v>23</v>
      </c>
      <c r="U3" t="s">
        <v>90</v>
      </c>
    </row>
    <row r="4" spans="1:21">
      <c r="A4" s="10" t="s">
        <v>227</v>
      </c>
      <c r="B4" s="10" t="s">
        <v>18</v>
      </c>
      <c r="C4" s="10" t="s">
        <v>47</v>
      </c>
      <c r="D4" s="10" t="s">
        <v>20</v>
      </c>
      <c r="E4" s="10">
        <v>1000</v>
      </c>
      <c r="F4" s="10">
        <v>1100</v>
      </c>
      <c r="G4" s="10">
        <v>1450</v>
      </c>
      <c r="H4" s="10">
        <v>1900</v>
      </c>
      <c r="I4" s="10">
        <v>1750</v>
      </c>
      <c r="J4" s="10">
        <v>2400</v>
      </c>
      <c r="K4" s="10">
        <v>1650</v>
      </c>
      <c r="L4" s="10">
        <v>2400</v>
      </c>
      <c r="M4" s="10">
        <v>1600</v>
      </c>
      <c r="N4" s="10">
        <v>2100</v>
      </c>
      <c r="O4" s="10">
        <v>1650</v>
      </c>
      <c r="P4" s="10">
        <v>2400</v>
      </c>
      <c r="Q4" s="10" t="s"/>
      <c r="R4" s="10" t="s"/>
      <c r="S4" s="13" t="s">
        <v>229</v>
      </c>
      <c r="T4" s="18" t="s">
        <v>23</v>
      </c>
      <c r="U4" t="s">
        <v>90</v>
      </c>
    </row>
    <row r="5" spans="1:21">
      <c r="A5" s="10" t="s">
        <v>227</v>
      </c>
      <c r="B5" s="10" t="s">
        <v>29</v>
      </c>
      <c r="C5" s="10" t="s">
        <v>99</v>
      </c>
      <c r="D5" s="10" t="s">
        <v>20</v>
      </c>
      <c r="E5" s="10">
        <v>900</v>
      </c>
      <c r="F5" s="10">
        <v>1100</v>
      </c>
      <c r="G5" s="10">
        <v>1150</v>
      </c>
      <c r="H5" s="10">
        <v>1400</v>
      </c>
      <c r="I5" s="10">
        <v>1650</v>
      </c>
      <c r="J5" s="10">
        <v>2400</v>
      </c>
      <c r="K5" s="10">
        <v>1550</v>
      </c>
      <c r="L5" s="10">
        <v>2400</v>
      </c>
      <c r="M5" s="10">
        <v>1500</v>
      </c>
      <c r="N5" s="10">
        <v>2100</v>
      </c>
      <c r="O5" s="10">
        <v>1550</v>
      </c>
      <c r="P5" s="10">
        <v>2400</v>
      </c>
      <c r="Q5" s="10" t="s"/>
      <c r="R5" s="10" t="s"/>
      <c r="S5" s="13" t="s">
        <v>230</v>
      </c>
      <c r="T5" s="18" t="s">
        <v>23</v>
      </c>
      <c r="U5" t="s">
        <v>90</v>
      </c>
    </row>
    <row r="6" spans="1:21">
      <c r="A6" s="10" t="s">
        <v>227</v>
      </c>
      <c r="B6" s="10" t="s">
        <v>43</v>
      </c>
      <c r="C6" s="10" t="s">
        <v>80</v>
      </c>
      <c r="D6" s="10" t="s">
        <v>20</v>
      </c>
      <c r="E6" s="16">
        <v>750</v>
      </c>
      <c r="F6" s="16">
        <v>975</v>
      </c>
      <c r="G6" s="16">
        <v>1175</v>
      </c>
      <c r="H6" s="16">
        <v>1500</v>
      </c>
      <c r="I6" s="16">
        <v>1500</v>
      </c>
      <c r="J6" s="16">
        <v>2275</v>
      </c>
      <c r="K6" s="16">
        <v>1400</v>
      </c>
      <c r="L6" s="16">
        <v>2275</v>
      </c>
      <c r="M6" s="16">
        <v>1350</v>
      </c>
      <c r="N6" s="16">
        <v>2075</v>
      </c>
      <c r="O6" s="16">
        <v>1400</v>
      </c>
      <c r="P6" s="16">
        <v>2275</v>
      </c>
      <c r="Q6" s="15" t="s"/>
      <c r="R6" s="15" t="s"/>
      <c r="S6" s="13" t="s">
        <v>231</v>
      </c>
      <c r="T6" s="18" t="s">
        <v>23</v>
      </c>
      <c r="U6" t="s">
        <v>90</v>
      </c>
    </row>
    <row r="7" spans="1:21">
      <c r="A7" s="10" t="s">
        <v>227</v>
      </c>
      <c r="B7" s="10" t="s">
        <v>150</v>
      </c>
      <c r="C7" s="10" t="s">
        <v>70</v>
      </c>
      <c r="D7" s="10" t="s">
        <v>71</v>
      </c>
      <c r="E7" s="35" t="s">
        <v>62</v>
      </c>
      <c r="F7" s="35" t="s">
        <v>62</v>
      </c>
      <c r="G7" s="16">
        <v>4050</v>
      </c>
      <c r="H7" s="16">
        <v>5450</v>
      </c>
      <c r="I7" s="10" t="s"/>
      <c r="J7" s="10" t="s"/>
      <c r="K7" s="10" t="s"/>
      <c r="L7" s="10" t="s"/>
      <c r="M7" s="10" t="s"/>
      <c r="N7" s="10" t="s"/>
      <c r="O7" s="10" t="s"/>
      <c r="P7" s="10" t="s"/>
      <c r="Q7" s="10" t="s"/>
      <c r="R7" s="10" t="s"/>
      <c r="S7" s="13" t="s">
        <v>153</v>
      </c>
      <c r="T7" s="18" t="s">
        <v>23</v>
      </c>
      <c r="U7" t="s">
        <v>90</v>
      </c>
    </row>
    <row r="8" spans="1:21">
      <c r="A8" s="10" t="s">
        <v>227</v>
      </c>
      <c r="B8" s="10" t="s">
        <v>67</v>
      </c>
      <c r="C8" s="10" t="s">
        <v>70</v>
      </c>
      <c r="D8" s="10" t="s">
        <v>71</v>
      </c>
      <c r="E8" s="35" t="s">
        <v>62</v>
      </c>
      <c r="F8" s="35" t="s">
        <v>62</v>
      </c>
      <c r="G8" s="16">
        <v>3100</v>
      </c>
      <c r="H8" s="16">
        <v>4300</v>
      </c>
      <c r="I8" s="10" t="s"/>
      <c r="J8" s="10" t="s"/>
      <c r="K8" s="10" t="s"/>
      <c r="L8" s="10" t="s"/>
      <c r="M8" s="10" t="s"/>
      <c r="N8" s="10" t="s"/>
      <c r="O8" s="10" t="s"/>
      <c r="P8" s="10" t="s"/>
      <c r="Q8" s="10" t="s"/>
      <c r="R8" s="10" t="s"/>
      <c r="S8" s="13" t="s">
        <v>153</v>
      </c>
      <c r="T8" s="18" t="s">
        <v>23</v>
      </c>
      <c r="U8" s="83" t="s">
        <v>74</v>
      </c>
    </row>
    <row r="9" spans="1:20">
      <c r="A9" s="10" t="s"/>
      <c r="B9" s="10" t="s"/>
      <c r="C9" s="10" t="s"/>
      <c r="D9" s="10" t="s"/>
      <c r="E9" s="10" t="s"/>
      <c r="F9" s="10" t="s"/>
      <c r="G9" s="10" t="s"/>
      <c r="H9" s="10" t="s"/>
      <c r="I9" s="10" t="s"/>
      <c r="J9" s="10" t="s"/>
      <c r="K9" s="10" t="s"/>
      <c r="L9" s="10" t="s"/>
      <c r="M9" s="10" t="s"/>
      <c r="N9" s="10" t="s"/>
      <c r="O9" s="10" t="s"/>
      <c r="P9" s="10" t="s"/>
      <c r="Q9" s="10" t="s"/>
      <c r="R9" s="10" t="s"/>
      <c r="S9" s="10" t="s"/>
      <c r="T9" s="10" t="s"/>
    </row>
    <row r="10" spans="1:20">
      <c r="A10" s="10" t="s"/>
      <c r="B10" s="10" t="s"/>
      <c r="C10" s="10" t="s"/>
      <c r="D10" s="10" t="s"/>
      <c r="E10" s="10" t="s"/>
      <c r="F10" s="10" t="s"/>
      <c r="G10" s="10" t="s"/>
      <c r="H10" s="10" t="s"/>
      <c r="I10" s="10" t="s"/>
      <c r="J10" s="10" t="s"/>
      <c r="K10" s="10" t="s"/>
      <c r="L10" s="10" t="s"/>
      <c r="M10" s="10" t="s"/>
      <c r="N10" s="10" t="s"/>
      <c r="O10" s="10" t="s"/>
      <c r="P10" s="10" t="s"/>
      <c r="Q10" s="10" t="s"/>
      <c r="R10" s="10" t="s"/>
      <c r="S10" s="10" t="s"/>
      <c r="T10" s="10" t="s"/>
    </row>
    <row r="11" spans="1:20">
      <c r="A11" s="10" t="s"/>
      <c r="B11" s="10" t="s"/>
      <c r="C11" s="10" t="s"/>
      <c r="D11" s="10" t="s"/>
      <c r="E11" s="10" t="s"/>
      <c r="F11" s="10" t="s"/>
      <c r="G11" s="10" t="s"/>
      <c r="H11" s="10" t="s"/>
      <c r="I11" s="10" t="s"/>
      <c r="J11" s="10" t="s"/>
      <c r="K11" s="10" t="s"/>
      <c r="L11" s="10" t="s"/>
      <c r="M11" s="10" t="s"/>
      <c r="N11" s="10" t="s"/>
      <c r="O11" s="10" t="s"/>
      <c r="P11" s="10" t="s"/>
      <c r="Q11" s="10" t="s"/>
      <c r="R11" s="10" t="s"/>
      <c r="S11" s="10" t="s"/>
      <c r="T11" s="10" t="s"/>
    </row>
  </sheetData>
  <mergeCells count="15">
    <mergeCell ref="A1:A2"/>
    <mergeCell ref="B1:B2"/>
    <mergeCell ref="C1:C2"/>
    <mergeCell ref="D1:D2"/>
    <mergeCell ref="E1:F1"/>
    <mergeCell ref="G1:H1"/>
    <mergeCell ref="I1:J1"/>
    <mergeCell ref="K1:L1"/>
    <mergeCell ref="M1:N1"/>
    <mergeCell ref="O1:P1"/>
    <mergeCell ref="Q1:R1"/>
    <mergeCell ref="S1:S2"/>
    <mergeCell ref="T1:T2"/>
    <mergeCell ref="U1:U2"/>
    <mergeCell ref="Q3:R11"/>
  </mergeCells>
</worksheet>
</file>

<file path=xl/worksheets/sheet7.xml><?xml version="1.0" encoding="utf-8"?>
<worksheet xmlns="http://schemas.openxmlformats.org/spreadsheetml/2006/main">
  <sheetPr codeName="CNNSA-CNYTN-CNSHE">
    <tabColor/>
  </sheetPr>
  <dimension ref="U26"/>
  <sheetViews>
    <sheetView showGridLines="true" workbookViewId="0"/>
  </sheetViews>
  <sheetFormatPr baseColWidth="13" defaultRowHeight="18" customHeight="true"/>
  <cols>
    <col min="5" max="18" width="9.71094" customWidth="true"/>
    <col min="19" max="19" width="22.793" customWidth="true"/>
    <col min="21" max="21" width="20.0938" customWidth="true"/>
  </cols>
  <sheetData>
    <row r="1" spans="1:21">
      <c r="A1" s="4" t="s">
        <v>1</v>
      </c>
      <c r="B1" s="5" t="s">
        <v>2</v>
      </c>
      <c r="C1" s="5" t="s">
        <v>3</v>
      </c>
      <c r="D1" s="5" t="s">
        <v>4</v>
      </c>
      <c r="E1" s="5" t="s">
        <v>5</v>
      </c>
      <c r="F1" s="6" t="s"/>
      <c r="G1" s="5" t="s">
        <v>6</v>
      </c>
      <c r="H1" s="6" t="s"/>
      <c r="I1" s="5" t="s">
        <v>7</v>
      </c>
      <c r="J1" s="6" t="s"/>
      <c r="K1" s="5" t="s">
        <v>8</v>
      </c>
      <c r="L1" s="6" t="s"/>
      <c r="M1" s="5" t="s">
        <v>9</v>
      </c>
      <c r="N1" s="6" t="s"/>
      <c r="O1" s="5" t="s">
        <v>10</v>
      </c>
      <c r="P1" s="6" t="s"/>
      <c r="Q1" s="5" t="s">
        <v>11</v>
      </c>
      <c r="R1" s="6" t="s"/>
      <c r="S1" s="5" t="s">
        <v>12</v>
      </c>
      <c r="T1" s="5" t="s">
        <v>13</v>
      </c>
      <c r="U1" s="5" t="s">
        <v>14</v>
      </c>
    </row>
    <row r="2" spans="1:21">
      <c r="A2" s="7" t="s"/>
      <c r="B2" s="8" t="s"/>
      <c r="C2" s="8" t="s"/>
      <c r="D2" s="8" t="s"/>
      <c r="E2" s="9" t="s">
        <v>15</v>
      </c>
      <c r="F2" s="9" t="s">
        <v>16</v>
      </c>
      <c r="G2" s="9" t="s">
        <v>15</v>
      </c>
      <c r="H2" s="9" t="s">
        <v>16</v>
      </c>
      <c r="I2" s="9" t="s">
        <v>15</v>
      </c>
      <c r="J2" s="9" t="s">
        <v>16</v>
      </c>
      <c r="K2" s="9" t="s">
        <v>15</v>
      </c>
      <c r="L2" s="9" t="s">
        <v>16</v>
      </c>
      <c r="M2" s="9" t="s">
        <v>15</v>
      </c>
      <c r="N2" s="9" t="s">
        <v>16</v>
      </c>
      <c r="O2" s="9" t="s">
        <v>15</v>
      </c>
      <c r="P2" s="9" t="s">
        <v>16</v>
      </c>
      <c r="Q2" s="9" t="s">
        <v>15</v>
      </c>
      <c r="R2" s="9" t="s">
        <v>16</v>
      </c>
      <c r="S2" s="8" t="s"/>
      <c r="T2" s="8" t="s"/>
      <c r="U2" s="8" t="s"/>
    </row>
    <row r="3" spans="1:21">
      <c r="A3" s="10" t="s">
        <v>137</v>
      </c>
      <c r="B3" s="10" t="s">
        <v>18</v>
      </c>
      <c r="C3" s="10" t="s">
        <v>47</v>
      </c>
      <c r="D3" s="10" t="s">
        <v>20</v>
      </c>
      <c r="E3" s="10">
        <v>1000</v>
      </c>
      <c r="F3" s="10">
        <v>1100</v>
      </c>
      <c r="G3" s="10">
        <v>1400</v>
      </c>
      <c r="H3" s="10">
        <v>1900</v>
      </c>
      <c r="I3" s="10">
        <v>1700</v>
      </c>
      <c r="J3" s="10">
        <v>2300</v>
      </c>
      <c r="K3" s="10">
        <v>1600</v>
      </c>
      <c r="L3" s="36">
        <v>2300</v>
      </c>
      <c r="M3" s="10">
        <v>1550</v>
      </c>
      <c r="N3" s="10">
        <v>2200</v>
      </c>
      <c r="O3" s="10">
        <v>1600</v>
      </c>
      <c r="P3" s="10">
        <v>2300</v>
      </c>
      <c r="Q3" s="15" t="s">
        <v>21</v>
      </c>
      <c r="R3" s="10" t="s"/>
      <c r="S3" s="13" t="s">
        <v>138</v>
      </c>
      <c r="T3" s="10" t="s">
        <v>23</v>
      </c>
      <c r="U3" s="10" t="s">
        <v>90</v>
      </c>
    </row>
    <row r="4" spans="1:21">
      <c r="A4" s="10" t="s">
        <v>139</v>
      </c>
      <c r="B4" s="10" t="s">
        <v>18</v>
      </c>
      <c r="C4" s="10" t="s">
        <v>47</v>
      </c>
      <c r="D4" s="10" t="s">
        <v>20</v>
      </c>
      <c r="E4" s="10">
        <v>1000</v>
      </c>
      <c r="F4" s="10">
        <v>1100</v>
      </c>
      <c r="G4" s="10">
        <v>1400</v>
      </c>
      <c r="H4" s="10">
        <v>1900</v>
      </c>
      <c r="I4" s="10">
        <v>1700</v>
      </c>
      <c r="J4" s="10">
        <v>2300</v>
      </c>
      <c r="K4" s="10">
        <v>1600</v>
      </c>
      <c r="L4" s="36">
        <v>2300</v>
      </c>
      <c r="M4" s="10">
        <v>1550</v>
      </c>
      <c r="N4" s="10">
        <v>2200</v>
      </c>
      <c r="O4" s="10">
        <v>1600</v>
      </c>
      <c r="P4" s="10">
        <v>2300</v>
      </c>
      <c r="Q4" s="10" t="s"/>
      <c r="R4" s="10" t="s"/>
      <c r="S4" s="13" t="s">
        <v>140</v>
      </c>
      <c r="T4" s="10" t="s">
        <v>23</v>
      </c>
      <c r="U4" s="10" t="s">
        <v>90</v>
      </c>
    </row>
    <row r="5" spans="1:21">
      <c r="A5" s="10" t="s">
        <v>137</v>
      </c>
      <c r="B5" s="10" t="s">
        <v>92</v>
      </c>
      <c r="C5" s="10" t="s">
        <v>35</v>
      </c>
      <c r="D5" s="10" t="s">
        <v>20</v>
      </c>
      <c r="E5" s="10">
        <v>950</v>
      </c>
      <c r="F5" s="10">
        <v>1000</v>
      </c>
      <c r="G5" s="10">
        <v>1350</v>
      </c>
      <c r="H5" s="10">
        <v>1800</v>
      </c>
      <c r="I5" s="10">
        <v>1650</v>
      </c>
      <c r="J5" s="10">
        <v>2200</v>
      </c>
      <c r="K5" s="10">
        <v>1550</v>
      </c>
      <c r="L5" s="10">
        <v>2200</v>
      </c>
      <c r="M5" s="10">
        <v>1500</v>
      </c>
      <c r="N5" s="10">
        <v>2100</v>
      </c>
      <c r="O5" s="10">
        <v>1550</v>
      </c>
      <c r="P5" s="10">
        <v>2200</v>
      </c>
      <c r="Q5" s="10" t="s"/>
      <c r="R5" s="10" t="s"/>
      <c r="S5" s="13" t="s">
        <v>141</v>
      </c>
      <c r="T5" s="10" t="s">
        <v>23</v>
      </c>
      <c r="U5" s="10" t="s">
        <v>90</v>
      </c>
    </row>
    <row r="6" spans="1:21">
      <c r="A6" s="10" t="s">
        <v>139</v>
      </c>
      <c r="B6" s="10" t="s">
        <v>92</v>
      </c>
      <c r="C6" s="10" t="s">
        <v>35</v>
      </c>
      <c r="D6" s="10" t="s">
        <v>20</v>
      </c>
      <c r="E6" s="10">
        <v>950</v>
      </c>
      <c r="F6" s="10">
        <v>1000</v>
      </c>
      <c r="G6" s="10">
        <v>1350</v>
      </c>
      <c r="H6" s="10">
        <v>1800</v>
      </c>
      <c r="I6" s="10">
        <v>1650</v>
      </c>
      <c r="J6" s="10">
        <v>2200</v>
      </c>
      <c r="K6" s="10">
        <v>1550</v>
      </c>
      <c r="L6" s="10">
        <v>2200</v>
      </c>
      <c r="M6" s="10">
        <v>1500</v>
      </c>
      <c r="N6" s="10">
        <v>2100</v>
      </c>
      <c r="O6" s="10">
        <v>1550</v>
      </c>
      <c r="P6" s="10">
        <v>2200</v>
      </c>
      <c r="Q6" s="10" t="s"/>
      <c r="R6" s="10" t="s"/>
      <c r="S6" s="13" t="s">
        <v>141</v>
      </c>
      <c r="T6" s="10" t="s">
        <v>23</v>
      </c>
      <c r="U6" s="10" t="s">
        <v>90</v>
      </c>
    </row>
    <row r="7" spans="1:21">
      <c r="A7" s="10" t="s">
        <v>142</v>
      </c>
      <c r="B7" s="10" t="s">
        <v>92</v>
      </c>
      <c r="C7" s="10" t="s">
        <v>143</v>
      </c>
      <c r="D7" s="10" t="s">
        <v>20</v>
      </c>
      <c r="E7" s="10">
        <v>800</v>
      </c>
      <c r="F7" s="10">
        <v>900</v>
      </c>
      <c r="G7" s="10">
        <v>1050</v>
      </c>
      <c r="H7" s="10">
        <v>1200</v>
      </c>
      <c r="I7" s="10">
        <v>1500</v>
      </c>
      <c r="J7" s="10">
        <v>2100</v>
      </c>
      <c r="K7" s="10">
        <v>1400</v>
      </c>
      <c r="L7" s="10">
        <v>2100</v>
      </c>
      <c r="M7" s="10">
        <v>1350</v>
      </c>
      <c r="N7" s="10">
        <v>2000</v>
      </c>
      <c r="O7" s="10">
        <v>1400</v>
      </c>
      <c r="P7" s="10">
        <v>2100</v>
      </c>
      <c r="Q7" s="10" t="s"/>
      <c r="R7" s="10" t="s"/>
      <c r="S7" s="13" t="s">
        <v>46</v>
      </c>
      <c r="T7" s="10" t="s">
        <v>23</v>
      </c>
      <c r="U7" s="10" t="s">
        <v>90</v>
      </c>
    </row>
    <row r="8" spans="1:21">
      <c r="A8" s="10" t="s">
        <v>137</v>
      </c>
      <c r="B8" s="10" t="s">
        <v>92</v>
      </c>
      <c r="C8" s="10" t="s">
        <v>143</v>
      </c>
      <c r="D8" s="10" t="s">
        <v>144</v>
      </c>
      <c r="E8" s="10">
        <v>850</v>
      </c>
      <c r="F8" s="10">
        <v>1000</v>
      </c>
      <c r="G8" s="10">
        <v>1100</v>
      </c>
      <c r="H8" s="10">
        <v>1300</v>
      </c>
      <c r="I8" s="10">
        <v>1550</v>
      </c>
      <c r="J8" s="10">
        <v>2200</v>
      </c>
      <c r="K8" s="10">
        <v>1450</v>
      </c>
      <c r="L8" s="10">
        <v>2200</v>
      </c>
      <c r="M8" s="10">
        <v>1400</v>
      </c>
      <c r="N8" s="10">
        <v>2100</v>
      </c>
      <c r="O8" s="10">
        <v>1450</v>
      </c>
      <c r="P8" s="10">
        <v>2200</v>
      </c>
      <c r="Q8" s="10" t="s"/>
      <c r="R8" s="10" t="s"/>
      <c r="S8" s="13" t="s">
        <v>46</v>
      </c>
      <c r="T8" s="10" t="s">
        <v>23</v>
      </c>
      <c r="U8" s="10" t="s">
        <v>90</v>
      </c>
    </row>
    <row r="9" spans="1:21">
      <c r="A9" s="10" t="s">
        <v>137</v>
      </c>
      <c r="B9" s="10" t="s">
        <v>18</v>
      </c>
      <c r="C9" s="10" t="s">
        <v>47</v>
      </c>
      <c r="D9" s="10" t="s">
        <v>20</v>
      </c>
      <c r="E9" s="10">
        <f>=E3+350</f>
        <v>1350</v>
      </c>
      <c r="F9" s="10">
        <f>=F3+700</f>
        <v>1800</v>
      </c>
      <c r="G9" s="10">
        <f>=G3+350</f>
        <v>1750</v>
      </c>
      <c r="H9" s="10">
        <f>=H3+700</f>
        <v>2600</v>
      </c>
      <c r="I9" s="10">
        <f>=I3+350</f>
        <v>2050</v>
      </c>
      <c r="J9" s="10">
        <f>=J3+700</f>
        <v>3000</v>
      </c>
      <c r="K9" s="10">
        <f>=K3+350</f>
        <v>1950</v>
      </c>
      <c r="L9" s="10">
        <f>=L3+700</f>
        <v>3000</v>
      </c>
      <c r="M9" s="10">
        <f>=M3+350</f>
        <v>1900</v>
      </c>
      <c r="N9" s="10">
        <f>=N3+700</f>
        <v>2900</v>
      </c>
      <c r="O9" s="10">
        <f>=O3+350</f>
        <v>1950</v>
      </c>
      <c r="P9" s="10">
        <f>=P3+700</f>
        <v>3000</v>
      </c>
      <c r="Q9" s="15" t="s"/>
      <c r="R9" s="15" t="s"/>
      <c r="S9" s="13" t="s">
        <v>138</v>
      </c>
      <c r="T9" s="10" t="s">
        <v>23</v>
      </c>
      <c r="U9" s="10" t="s">
        <v>145</v>
      </c>
    </row>
    <row r="10" spans="1:21">
      <c r="A10" s="10" t="s">
        <v>137</v>
      </c>
      <c r="B10" s="10" t="s">
        <v>18</v>
      </c>
      <c r="C10" s="10" t="s">
        <v>47</v>
      </c>
      <c r="D10" s="10" t="s">
        <v>20</v>
      </c>
      <c r="E10" s="10">
        <f>=E3+700</f>
        <v>1700</v>
      </c>
      <c r="F10" s="10">
        <f>=F3+900</f>
        <v>2000</v>
      </c>
      <c r="G10" s="10">
        <f>=G3+700</f>
        <v>2100</v>
      </c>
      <c r="H10" s="10">
        <f>=H3+900</f>
        <v>2800</v>
      </c>
      <c r="I10" s="10">
        <f>=I3+700</f>
        <v>2400</v>
      </c>
      <c r="J10" s="10">
        <f>=J3+900</f>
        <v>3200</v>
      </c>
      <c r="K10" s="10">
        <f>=K3+700</f>
        <v>2300</v>
      </c>
      <c r="L10" s="10">
        <f>=L3+900</f>
        <v>3200</v>
      </c>
      <c r="M10" s="10">
        <f>=M3+700</f>
        <v>2250</v>
      </c>
      <c r="N10" s="10">
        <f>=N3+900</f>
        <v>3100</v>
      </c>
      <c r="O10" s="10">
        <f>=O3+700</f>
        <v>2300</v>
      </c>
      <c r="P10" s="10">
        <f>=P3+900</f>
        <v>3200</v>
      </c>
      <c r="Q10" s="15" t="s"/>
      <c r="R10" s="15" t="s"/>
      <c r="S10" s="13" t="s">
        <v>140</v>
      </c>
      <c r="T10" s="10" t="s">
        <v>23</v>
      </c>
      <c r="U10" s="10" t="s">
        <v>146</v>
      </c>
    </row>
    <row r="11" spans="1:21">
      <c r="A11" s="10" t="s">
        <v>137</v>
      </c>
      <c r="B11" s="10" t="s">
        <v>18</v>
      </c>
      <c r="C11" s="10" t="s">
        <v>27</v>
      </c>
      <c r="D11" s="10" t="s">
        <v>20</v>
      </c>
      <c r="E11" s="10">
        <v>700</v>
      </c>
      <c r="F11" s="10">
        <v>800</v>
      </c>
      <c r="G11" s="10">
        <v>1050</v>
      </c>
      <c r="H11" s="10">
        <v>1000</v>
      </c>
      <c r="I11" s="10">
        <v>1350</v>
      </c>
      <c r="J11" s="10">
        <v>1600</v>
      </c>
      <c r="K11" s="10">
        <v>1400</v>
      </c>
      <c r="L11" s="10">
        <v>1800</v>
      </c>
      <c r="M11" s="10">
        <v>1350</v>
      </c>
      <c r="N11" s="10">
        <v>1700</v>
      </c>
      <c r="O11" s="10">
        <v>1400</v>
      </c>
      <c r="P11" s="10">
        <v>1800</v>
      </c>
      <c r="Q11" s="15" t="s"/>
      <c r="R11" s="15" t="s"/>
      <c r="S11" s="13" t="s">
        <v>72</v>
      </c>
      <c r="T11" s="10" t="s">
        <v>23</v>
      </c>
      <c r="U11" s="10" t="s">
        <v>90</v>
      </c>
    </row>
    <row r="12" spans="1:21">
      <c r="A12" s="10" t="s">
        <v>147</v>
      </c>
      <c r="B12" s="10" t="s">
        <v>92</v>
      </c>
      <c r="C12" s="10" t="s">
        <v>143</v>
      </c>
      <c r="D12" s="10" t="s">
        <v>20</v>
      </c>
      <c r="E12" s="16" t="s">
        <v>62</v>
      </c>
      <c r="F12" s="16" t="s">
        <v>62</v>
      </c>
      <c r="G12" s="10" t="s"/>
      <c r="H12" s="10" t="s"/>
      <c r="I12" s="10" t="s"/>
      <c r="J12" s="10" t="s"/>
      <c r="K12" s="10" t="s"/>
      <c r="L12" s="10" t="s"/>
      <c r="M12" s="10" t="s"/>
      <c r="N12" s="10" t="s"/>
      <c r="O12" s="10" t="s"/>
      <c r="P12" s="10" t="s"/>
      <c r="Q12" s="10" t="s"/>
      <c r="R12" s="10" t="s"/>
      <c r="S12" s="13" t="s">
        <v>148</v>
      </c>
      <c r="T12" s="10" t="s">
        <v>149</v>
      </c>
      <c r="U12" s="10" t="s">
        <v>90</v>
      </c>
    </row>
    <row r="13" spans="1:21">
      <c r="A13" s="10" t="s">
        <v>139</v>
      </c>
      <c r="B13" s="10" t="s">
        <v>150</v>
      </c>
      <c r="C13" s="10" t="s">
        <v>35</v>
      </c>
      <c r="D13" s="10" t="s">
        <v>20</v>
      </c>
      <c r="E13" s="10" t="s"/>
      <c r="F13" s="10" t="s"/>
      <c r="G13" s="10">
        <v>4000</v>
      </c>
      <c r="H13" s="10">
        <v>5200</v>
      </c>
      <c r="I13" s="10" t="s"/>
      <c r="J13" s="10" t="s"/>
      <c r="K13" s="10" t="s"/>
      <c r="L13" s="10" t="s"/>
      <c r="M13" s="10" t="s"/>
      <c r="N13" s="10" t="s"/>
      <c r="O13" s="10" t="s"/>
      <c r="P13" s="10" t="s"/>
      <c r="Q13" s="10" t="s"/>
      <c r="R13" s="10" t="s"/>
      <c r="S13" s="10" t="s">
        <v>151</v>
      </c>
      <c r="T13" s="10" t="s">
        <v>118</v>
      </c>
      <c r="U13" s="18" t="s">
        <v>135</v>
      </c>
    </row>
    <row r="14" spans="1:21">
      <c r="A14" s="10" t="s">
        <v>137</v>
      </c>
      <c r="B14" s="10" t="s">
        <v>67</v>
      </c>
      <c r="C14" s="7" t="s">
        <v>35</v>
      </c>
      <c r="D14" s="7" t="s">
        <v>20</v>
      </c>
      <c r="E14" s="7" t="s"/>
      <c r="F14" s="7" t="s"/>
      <c r="G14" s="37">
        <v>3000</v>
      </c>
      <c r="H14" s="37">
        <v>4100</v>
      </c>
      <c r="I14" s="7" t="s"/>
      <c r="J14" s="7" t="s"/>
      <c r="K14" s="7" t="s"/>
      <c r="L14" s="7" t="s"/>
      <c r="M14" s="7" t="s"/>
      <c r="N14" s="7" t="s"/>
      <c r="O14" s="7" t="s"/>
      <c r="P14" s="7" t="s"/>
      <c r="Q14" s="7" t="s"/>
      <c r="R14" s="7" t="s"/>
      <c r="S14" s="10" t="s">
        <v>83</v>
      </c>
      <c r="T14" s="10" t="s">
        <v>118</v>
      </c>
      <c r="U14" s="19" t="s">
        <v>74</v>
      </c>
    </row>
    <row r="15" spans="1:21">
      <c r="A15" s="38" t="s">
        <v>137</v>
      </c>
      <c r="B15" s="10" t="s">
        <v>150</v>
      </c>
      <c r="C15" s="10" t="s">
        <v>59</v>
      </c>
      <c r="D15" s="7" t="s">
        <v>130</v>
      </c>
      <c r="E15" s="10" t="s"/>
      <c r="F15" s="10" t="s"/>
      <c r="G15" s="10">
        <v>4850</v>
      </c>
      <c r="H15" s="10">
        <v>7350</v>
      </c>
      <c r="I15" s="10" t="s"/>
      <c r="J15" s="10" t="s"/>
      <c r="K15" s="10" t="s"/>
      <c r="L15" s="10" t="s"/>
      <c r="M15" s="10" t="s"/>
      <c r="N15" s="10" t="s"/>
      <c r="O15" s="10" t="s"/>
      <c r="P15" s="10" t="s"/>
      <c r="Q15" s="10" t="s"/>
      <c r="R15" s="10" t="s"/>
      <c r="S15" s="13" t="s">
        <v>152</v>
      </c>
      <c r="T15" s="10" t="s">
        <v>23</v>
      </c>
      <c r="U15" s="18" t="s">
        <v>135</v>
      </c>
    </row>
    <row r="16" spans="1:21">
      <c r="A16" s="38" t="s">
        <v>137</v>
      </c>
      <c r="B16" s="10" t="s">
        <v>67</v>
      </c>
      <c r="C16" s="10" t="s">
        <v>59</v>
      </c>
      <c r="D16" s="10" t="s">
        <v>20</v>
      </c>
      <c r="E16" s="37" t="s"/>
      <c r="F16" s="37" t="s"/>
      <c r="G16" s="10">
        <v>4300</v>
      </c>
      <c r="H16" s="10">
        <v>6500</v>
      </c>
      <c r="I16" s="37" t="s"/>
      <c r="J16" s="10" t="s"/>
      <c r="K16" s="10" t="s"/>
      <c r="L16" s="10" t="s"/>
      <c r="M16" s="10" t="s"/>
      <c r="N16" s="10" t="s"/>
      <c r="O16" s="10" t="s"/>
      <c r="P16" s="10" t="s"/>
      <c r="Q16" s="10" t="s"/>
      <c r="R16" s="10" t="s"/>
      <c r="S16" s="13" t="s">
        <v>152</v>
      </c>
      <c r="T16" s="10" t="s">
        <v>23</v>
      </c>
      <c r="U16" s="18" t="s">
        <v>63</v>
      </c>
    </row>
    <row r="17" spans="1:21">
      <c r="A17" s="38" t="s">
        <v>137</v>
      </c>
      <c r="B17" s="10" t="s">
        <v>150</v>
      </c>
      <c r="C17" s="10" t="s">
        <v>70</v>
      </c>
      <c r="D17" s="10" t="s">
        <v>71</v>
      </c>
      <c r="E17" s="10" t="s"/>
      <c r="F17" s="10" t="s"/>
      <c r="G17" s="39">
        <v>4050</v>
      </c>
      <c r="H17" s="39">
        <v>5450</v>
      </c>
      <c r="I17" s="10" t="s"/>
      <c r="J17" s="10" t="s"/>
      <c r="K17" s="10" t="s"/>
      <c r="L17" s="10" t="s"/>
      <c r="M17" s="10" t="s"/>
      <c r="N17" s="10" t="s"/>
      <c r="O17" s="10" t="s"/>
      <c r="P17" s="10" t="s"/>
      <c r="Q17" s="10" t="s"/>
      <c r="R17" s="10" t="s"/>
      <c r="S17" s="13" t="s">
        <v>153</v>
      </c>
      <c r="T17" s="10" t="s">
        <v>23</v>
      </c>
      <c r="U17" s="19" t="s">
        <v>154</v>
      </c>
    </row>
    <row r="18" spans="1:21">
      <c r="A18" s="38" t="s">
        <v>137</v>
      </c>
      <c r="B18" s="10" t="s">
        <v>67</v>
      </c>
      <c r="C18" s="10" t="s">
        <v>70</v>
      </c>
      <c r="D18" s="10" t="s">
        <v>71</v>
      </c>
      <c r="E18" s="10" t="s"/>
      <c r="F18" s="10" t="s"/>
      <c r="G18" s="39">
        <v>3100</v>
      </c>
      <c r="H18" s="39">
        <v>4300</v>
      </c>
      <c r="I18" s="10" t="s"/>
      <c r="J18" s="10" t="s"/>
      <c r="K18" s="10" t="s"/>
      <c r="L18" s="10" t="s"/>
      <c r="M18" s="10" t="s"/>
      <c r="N18" s="10" t="s"/>
      <c r="O18" s="10" t="s"/>
      <c r="P18" s="10" t="s"/>
      <c r="Q18" s="10" t="s"/>
      <c r="R18" s="10" t="s"/>
      <c r="S18" s="13" t="s">
        <v>153</v>
      </c>
      <c r="T18" s="10" t="s">
        <v>23</v>
      </c>
      <c r="U18" s="19" t="s">
        <v>155</v>
      </c>
    </row>
    <row r="19" spans="1:21">
      <c r="A19" s="38" t="s">
        <v>137</v>
      </c>
      <c r="B19" s="10" t="s">
        <v>150</v>
      </c>
      <c r="C19" s="10" t="s">
        <v>75</v>
      </c>
      <c r="D19" s="10" t="s">
        <v>156</v>
      </c>
      <c r="E19" s="10" t="s"/>
      <c r="F19" s="10" t="s"/>
      <c r="G19" s="40">
        <v>3950</v>
      </c>
      <c r="H19" s="40">
        <v>5650</v>
      </c>
      <c r="I19" s="10" t="s"/>
      <c r="J19" s="10" t="s"/>
      <c r="K19" s="10" t="s"/>
      <c r="L19" s="10" t="s"/>
      <c r="M19" s="10" t="s"/>
      <c r="N19" s="10" t="s"/>
      <c r="O19" s="10" t="s"/>
      <c r="P19" s="10" t="s"/>
      <c r="Q19" s="10" t="s"/>
      <c r="R19" s="10" t="s"/>
      <c r="S19" s="13" t="s">
        <v>157</v>
      </c>
      <c r="T19" s="10" t="s">
        <v>23</v>
      </c>
      <c r="U19" s="10" t="s">
        <v>90</v>
      </c>
    </row>
    <row r="20" spans="1:21">
      <c r="A20" s="38" t="s">
        <v>137</v>
      </c>
      <c r="B20" s="10" t="s">
        <v>67</v>
      </c>
      <c r="C20" s="7" t="s">
        <v>75</v>
      </c>
      <c r="D20" s="7" t="s">
        <v>156</v>
      </c>
      <c r="E20" s="7" t="s"/>
      <c r="F20" s="7" t="s"/>
      <c r="G20" s="40">
        <v>2700</v>
      </c>
      <c r="H20" s="40">
        <v>3550</v>
      </c>
      <c r="I20" s="7" t="s"/>
      <c r="J20" s="7" t="s"/>
      <c r="K20" s="7" t="s"/>
      <c r="L20" s="7" t="s"/>
      <c r="M20" s="7" t="s"/>
      <c r="N20" s="7" t="s"/>
      <c r="O20" s="7" t="s"/>
      <c r="P20" s="7" t="s"/>
      <c r="Q20" s="7" t="s"/>
      <c r="R20" s="7" t="s"/>
      <c r="S20" s="13" t="s">
        <v>157</v>
      </c>
      <c r="T20" s="10" t="s">
        <v>23</v>
      </c>
      <c r="U20" s="19" t="s">
        <v>74</v>
      </c>
    </row>
    <row r="21" spans="1:21">
      <c r="A21" s="38" t="s">
        <v>137</v>
      </c>
      <c r="B21" s="10" t="s">
        <v>150</v>
      </c>
      <c r="C21" s="10" t="s">
        <v>64</v>
      </c>
      <c r="D21" s="14" t="s">
        <v>20</v>
      </c>
      <c r="E21" s="10" t="s"/>
      <c r="F21" s="10" t="s"/>
      <c r="G21" s="40">
        <v>4100</v>
      </c>
      <c r="H21" s="40">
        <v>5300</v>
      </c>
      <c r="I21" s="10" t="s"/>
      <c r="J21" s="10" t="s"/>
      <c r="K21" s="10" t="s"/>
      <c r="L21" s="10" t="s"/>
      <c r="M21" s="10" t="s"/>
      <c r="N21" s="10" t="s"/>
      <c r="O21" s="10" t="s"/>
      <c r="P21" s="10" t="s"/>
      <c r="Q21" s="10" t="s"/>
      <c r="R21" s="10" t="s"/>
      <c r="S21" s="18" t="s">
        <v>158</v>
      </c>
      <c r="T21" s="10" t="s">
        <v>23</v>
      </c>
      <c r="U21" s="19" t="s">
        <v>66</v>
      </c>
    </row>
    <row r="22" spans="1:21">
      <c r="A22" s="38" t="s">
        <v>137</v>
      </c>
      <c r="B22" s="10" t="s">
        <v>67</v>
      </c>
      <c r="C22" s="10" t="s">
        <v>64</v>
      </c>
      <c r="D22" s="14" t="s">
        <v>68</v>
      </c>
      <c r="E22" s="10" t="s"/>
      <c r="F22" s="10" t="s"/>
      <c r="G22" s="40">
        <v>2850</v>
      </c>
      <c r="H22" s="40">
        <v>4000</v>
      </c>
      <c r="I22" s="10" t="s"/>
      <c r="J22" s="10" t="s"/>
      <c r="K22" s="10" t="s"/>
      <c r="L22" s="10" t="s"/>
      <c r="M22" s="10" t="s"/>
      <c r="N22" s="10" t="s"/>
      <c r="O22" s="10" t="s"/>
      <c r="P22" s="10" t="s"/>
      <c r="Q22" s="10" t="s"/>
      <c r="R22" s="10" t="s"/>
      <c r="S22" s="18" t="s">
        <v>159</v>
      </c>
      <c r="T22" s="10" t="s">
        <v>23</v>
      </c>
      <c r="U22" s="10" t="s">
        <v>69</v>
      </c>
    </row>
    <row r="23" spans="1:21">
      <c r="A23" s="38" t="s">
        <v>137</v>
      </c>
      <c r="B23" s="10" t="s">
        <v>150</v>
      </c>
      <c r="C23" s="10" t="s">
        <v>27</v>
      </c>
      <c r="D23" s="10" t="s">
        <v>20</v>
      </c>
      <c r="E23" s="10" t="s"/>
      <c r="F23" s="10" t="s"/>
      <c r="G23" s="41">
        <v>3760</v>
      </c>
      <c r="H23" s="41">
        <v>5360</v>
      </c>
      <c r="I23" s="10" t="s"/>
      <c r="J23" s="10" t="s"/>
      <c r="K23" s="10" t="s"/>
      <c r="L23" s="10" t="s"/>
      <c r="M23" s="10" t="s"/>
      <c r="N23" s="10" t="s"/>
      <c r="O23" s="10" t="s"/>
      <c r="P23" s="10" t="s"/>
      <c r="Q23" s="10" t="s"/>
      <c r="R23" s="10" t="s"/>
      <c r="S23" s="18" t="s">
        <v>160</v>
      </c>
      <c r="T23" s="10" t="s">
        <v>78</v>
      </c>
      <c r="U23" s="10" t="s">
        <v>90</v>
      </c>
    </row>
    <row r="24" spans="1:21">
      <c r="A24" s="38" t="s">
        <v>137</v>
      </c>
      <c r="B24" s="42" t="s">
        <v>129</v>
      </c>
      <c r="C24" s="43" t="s">
        <v>27</v>
      </c>
      <c r="D24" s="44" t="s">
        <v>20</v>
      </c>
      <c r="E24" s="43" t="s"/>
      <c r="F24" s="43" t="s"/>
      <c r="G24" s="41">
        <v>4710</v>
      </c>
      <c r="H24" s="41">
        <v>6610</v>
      </c>
      <c r="I24" s="43" t="s"/>
      <c r="J24" s="45" t="s"/>
      <c r="K24" s="43" t="s"/>
      <c r="L24" s="43" t="s"/>
      <c r="M24" s="43" t="s"/>
      <c r="N24" s="43" t="s"/>
      <c r="O24" s="43" t="s"/>
      <c r="P24" s="43" t="s"/>
      <c r="Q24" s="43" t="s"/>
      <c r="R24" s="43" t="s"/>
      <c r="S24" s="18" t="s">
        <v>160</v>
      </c>
      <c r="T24" s="10" t="s">
        <v>78</v>
      </c>
      <c r="U24" s="46" t="s">
        <v>79</v>
      </c>
    </row>
    <row r="25" spans="1:21">
      <c r="A25" s="38" t="s">
        <v>137</v>
      </c>
      <c r="B25" s="19" t="s">
        <v>67</v>
      </c>
      <c r="C25" s="18" t="s">
        <v>81</v>
      </c>
      <c r="D25" s="18" t="s">
        <v>82</v>
      </c>
      <c r="E25" s="10" t="s"/>
      <c r="F25" s="10" t="s"/>
      <c r="G25" s="10">
        <v>3300</v>
      </c>
      <c r="H25" s="10">
        <v>4600</v>
      </c>
      <c r="I25" s="10" t="s"/>
      <c r="J25" s="10" t="s"/>
      <c r="K25" s="10" t="s"/>
      <c r="L25" s="10" t="s"/>
      <c r="M25" s="10" t="s"/>
      <c r="N25" s="10" t="s"/>
      <c r="O25" s="10" t="s"/>
      <c r="P25" s="10" t="s"/>
      <c r="Q25" s="10" t="s"/>
      <c r="R25" s="10" t="s"/>
      <c r="S25" s="18" t="s">
        <v>32</v>
      </c>
      <c r="T25" s="18" t="s">
        <v>23</v>
      </c>
      <c r="U25" s="10" t="s">
        <v>74</v>
      </c>
    </row>
    <row r="26" spans="1:21">
      <c r="A26" s="18" t="s">
        <v>161</v>
      </c>
      <c r="B26" s="19" t="s">
        <v>67</v>
      </c>
      <c r="C26" s="47" t="s">
        <v>84</v>
      </c>
      <c r="D26" s="47" t="s">
        <v>20</v>
      </c>
      <c r="E26" s="48" t="s"/>
      <c r="F26" s="48" t="s"/>
      <c r="G26" s="48">
        <v>3000</v>
      </c>
      <c r="H26" s="48">
        <v>3700</v>
      </c>
      <c r="I26" s="48" t="s"/>
      <c r="J26" s="48" t="s"/>
      <c r="K26" s="48" t="s"/>
      <c r="L26" s="48" t="s"/>
      <c r="M26" s="48" t="s"/>
      <c r="N26" s="48" t="s"/>
      <c r="O26" s="48" t="s"/>
      <c r="P26" s="48" t="s"/>
      <c r="Q26" s="48" t="s"/>
      <c r="R26" s="48" t="s"/>
      <c r="S26" s="47" t="s">
        <v>162</v>
      </c>
      <c r="T26" s="10" t="s">
        <v>23</v>
      </c>
      <c r="U26" s="10" t="s">
        <v>74</v>
      </c>
    </row>
  </sheetData>
  <mergeCells count="15">
    <mergeCell ref="A1:A2"/>
    <mergeCell ref="B1:B2"/>
    <mergeCell ref="C1:C2"/>
    <mergeCell ref="D1:D2"/>
    <mergeCell ref="E1:F1"/>
    <mergeCell ref="G1:H1"/>
    <mergeCell ref="I1:J1"/>
    <mergeCell ref="K1:L1"/>
    <mergeCell ref="M1:N1"/>
    <mergeCell ref="O1:P1"/>
    <mergeCell ref="Q1:R1"/>
    <mergeCell ref="S1:S2"/>
    <mergeCell ref="T1:T2"/>
    <mergeCell ref="U1:U2"/>
    <mergeCell ref="Q3:R12"/>
  </mergeCells>
</worksheet>
</file>

<file path=xl/worksheets/sheet8.xml><?xml version="1.0" encoding="utf-8"?>
<worksheet xmlns="http://schemas.openxmlformats.org/spreadsheetml/2006/main">
  <sheetPr codeName="KRBUS">
    <tabColor/>
  </sheetPr>
  <dimension ref="U5"/>
  <sheetViews>
    <sheetView showGridLines="true" workbookViewId="0"/>
  </sheetViews>
  <sheetFormatPr baseColWidth="13" defaultRowHeight="18" customHeight="true"/>
  <cols>
    <col min="5" max="18" width="9.57422" customWidth="true"/>
    <col min="19" max="19" width="15.1016" customWidth="true"/>
  </cols>
  <sheetData>
    <row r="1" spans="1:21">
      <c r="A1" s="4" t="s">
        <v>1</v>
      </c>
      <c r="B1" s="5" t="s">
        <v>2</v>
      </c>
      <c r="C1" s="5" t="s">
        <v>3</v>
      </c>
      <c r="D1" s="5" t="s">
        <v>4</v>
      </c>
      <c r="E1" s="5" t="s">
        <v>5</v>
      </c>
      <c r="F1" s="6" t="s"/>
      <c r="G1" s="5" t="s">
        <v>6</v>
      </c>
      <c r="H1" s="6" t="s"/>
      <c r="I1" s="5" t="s">
        <v>7</v>
      </c>
      <c r="J1" s="6" t="s"/>
      <c r="K1" s="5" t="s">
        <v>8</v>
      </c>
      <c r="L1" s="6" t="s"/>
      <c r="M1" s="5" t="s">
        <v>9</v>
      </c>
      <c r="N1" s="6" t="s"/>
      <c r="O1" s="5" t="s">
        <v>10</v>
      </c>
      <c r="P1" s="6" t="s"/>
      <c r="Q1" s="5" t="s">
        <v>11</v>
      </c>
      <c r="R1" s="6" t="s"/>
      <c r="S1" s="5" t="s">
        <v>12</v>
      </c>
      <c r="T1" s="5" t="s">
        <v>13</v>
      </c>
      <c r="U1" s="5" t="s">
        <v>14</v>
      </c>
    </row>
    <row r="2" spans="1:21">
      <c r="A2" s="10" t="s"/>
      <c r="B2" s="6" t="s"/>
      <c r="C2" s="6" t="s"/>
      <c r="D2" s="6" t="s"/>
      <c r="E2" s="23" t="s">
        <v>15</v>
      </c>
      <c r="F2" s="23" t="s">
        <v>16</v>
      </c>
      <c r="G2" s="23" t="s">
        <v>15</v>
      </c>
      <c r="H2" s="23" t="s">
        <v>16</v>
      </c>
      <c r="I2" s="23" t="s">
        <v>15</v>
      </c>
      <c r="J2" s="23" t="s">
        <v>16</v>
      </c>
      <c r="K2" s="23" t="s">
        <v>15</v>
      </c>
      <c r="L2" s="23" t="s">
        <v>16</v>
      </c>
      <c r="M2" s="23" t="s">
        <v>15</v>
      </c>
      <c r="N2" s="23" t="s">
        <v>16</v>
      </c>
      <c r="O2" s="23" t="s">
        <v>15</v>
      </c>
      <c r="P2" s="23" t="s">
        <v>16</v>
      </c>
      <c r="Q2" s="23" t="s">
        <v>15</v>
      </c>
      <c r="R2" s="23" t="s">
        <v>16</v>
      </c>
      <c r="S2" s="6" t="s"/>
      <c r="T2" s="6" t="s"/>
      <c r="U2" s="6" t="s"/>
    </row>
    <row r="3" spans="1:21">
      <c r="A3" t="s">
        <v>86</v>
      </c>
      <c r="B3" t="s">
        <v>87</v>
      </c>
      <c r="C3" t="s">
        <v>33</v>
      </c>
      <c r="D3" t="s">
        <v>20</v>
      </c>
      <c r="E3" s="10">
        <v>750</v>
      </c>
      <c r="F3" s="10">
        <v>900</v>
      </c>
      <c r="G3" s="10">
        <v>1386</v>
      </c>
      <c r="H3" s="10">
        <v>1722</v>
      </c>
      <c r="I3" s="10">
        <v>1600</v>
      </c>
      <c r="J3" s="10">
        <v>2800</v>
      </c>
      <c r="K3" s="10">
        <v>1550</v>
      </c>
      <c r="L3" s="10">
        <v>2750</v>
      </c>
      <c r="M3" s="10">
        <v>1550</v>
      </c>
      <c r="N3" s="10">
        <v>2450</v>
      </c>
      <c r="O3" s="10">
        <v>1550</v>
      </c>
      <c r="P3" s="10">
        <v>2750</v>
      </c>
      <c r="Q3" s="24" t="s">
        <v>21</v>
      </c>
      <c r="S3" s="25" t="s">
        <v>88</v>
      </c>
      <c r="T3" s="25" t="s">
        <v>89</v>
      </c>
      <c r="U3" t="s">
        <v>90</v>
      </c>
    </row>
    <row r="4" spans="1:21">
      <c r="A4" t="s">
        <v>86</v>
      </c>
      <c r="B4" t="s">
        <v>18</v>
      </c>
      <c r="C4" t="s">
        <v>47</v>
      </c>
      <c r="D4" t="s">
        <v>20</v>
      </c>
      <c r="E4">
        <v>1350</v>
      </c>
      <c r="F4">
        <v>1450</v>
      </c>
      <c r="G4">
        <v>2350</v>
      </c>
      <c r="H4">
        <v>3050</v>
      </c>
      <c r="I4">
        <v>2350</v>
      </c>
      <c r="J4">
        <v>3650</v>
      </c>
      <c r="K4">
        <v>2350</v>
      </c>
      <c r="L4">
        <v>3650</v>
      </c>
      <c r="M4">
        <v>2350</v>
      </c>
      <c r="N4">
        <v>3650</v>
      </c>
      <c r="O4">
        <v>2350</v>
      </c>
      <c r="P4">
        <v>3650</v>
      </c>
      <c r="S4" s="25" t="s">
        <v>91</v>
      </c>
      <c r="T4" s="25" t="s">
        <v>89</v>
      </c>
      <c r="U4" t="s">
        <v>90</v>
      </c>
    </row>
    <row r="5" spans="1:21">
      <c r="A5" t="s">
        <v>86</v>
      </c>
      <c r="B5" t="s">
        <v>92</v>
      </c>
      <c r="C5" t="s">
        <v>93</v>
      </c>
      <c r="D5" t="s">
        <v>20</v>
      </c>
      <c r="E5" t="s">
        <v>62</v>
      </c>
      <c r="F5" t="s">
        <v>62</v>
      </c>
      <c r="G5" t="s">
        <v>62</v>
      </c>
      <c r="H5" t="s">
        <v>62</v>
      </c>
      <c r="I5" t="s">
        <v>62</v>
      </c>
      <c r="J5" t="s">
        <v>62</v>
      </c>
      <c r="K5" t="s">
        <v>62</v>
      </c>
      <c r="L5" t="s">
        <v>62</v>
      </c>
      <c r="M5" t="s">
        <v>62</v>
      </c>
      <c r="N5" t="s">
        <v>62</v>
      </c>
      <c r="O5" t="s">
        <v>62</v>
      </c>
      <c r="P5" t="s">
        <v>62</v>
      </c>
      <c r="S5" t="s">
        <v>94</v>
      </c>
      <c r="T5" s="25" t="s">
        <v>95</v>
      </c>
      <c r="U5" t="s">
        <v>90</v>
      </c>
    </row>
  </sheetData>
  <mergeCells count="15">
    <mergeCell ref="A1:A2"/>
    <mergeCell ref="B1:B2"/>
    <mergeCell ref="C1:C2"/>
    <mergeCell ref="D1:D2"/>
    <mergeCell ref="E1:F1"/>
    <mergeCell ref="G1:H1"/>
    <mergeCell ref="I1:J1"/>
    <mergeCell ref="K1:L1"/>
    <mergeCell ref="M1:N1"/>
    <mergeCell ref="O1:P1"/>
    <mergeCell ref="Q1:R1"/>
    <mergeCell ref="S1:S2"/>
    <mergeCell ref="T1:T2"/>
    <mergeCell ref="U1:U2"/>
    <mergeCell ref="Q3:R10"/>
  </mergeCells>
</worksheet>
</file>

<file path=xl/worksheets/sheet9.xml><?xml version="1.0" encoding="utf-8"?>
<worksheet xmlns="http://schemas.openxmlformats.org/spreadsheetml/2006/main">
  <sheetPr codeName="LCL - LTL">
    <tabColor/>
  </sheetPr>
  <dimension ref="O59"/>
  <sheetViews>
    <sheetView showGridLines="true" workbookViewId="0"/>
  </sheetViews>
  <sheetFormatPr baseColWidth="13" defaultRowHeight="18" customHeight="true"/>
  <cols>
    <col min="1" max="1" width="13.082" customWidth="true"/>
    <col min="2" max="2" width="13.4844" customWidth="true"/>
    <col min="3" max="3" width="24.6836" customWidth="true"/>
    <col min="4" max="4" width="15.2422" customWidth="true"/>
    <col min="5" max="5" width="15.9141" customWidth="true"/>
    <col min="6" max="6" width="19.9609" customWidth="true"/>
    <col min="7" max="7" width="11.332" customWidth="true"/>
    <col min="8" max="8" width="11.1914" customWidth="true"/>
    <col min="9" max="10" width="9.57422" customWidth="true"/>
    <col min="11" max="11" width="11.0625" customWidth="true"/>
    <col min="12" max="12" width="17.6719" customWidth="true"/>
    <col min="13" max="13" width="14.4336" customWidth="true"/>
    <col min="14" max="14" width="13.4844" customWidth="true"/>
    <col min="15" max="15" width="44.6406" customWidth="true"/>
    <col min="16" max="16" width="81.8711" customWidth="true"/>
  </cols>
  <sheetData>
    <row r="1" spans="1:16">
      <c r="A1" s="58" t="s">
        <v>232</v>
      </c>
      <c r="B1" s="56" t="s">
        <v>209</v>
      </c>
      <c r="C1" s="56" t="s">
        <v>4</v>
      </c>
      <c r="D1" s="57" t="s">
        <v>210</v>
      </c>
      <c r="E1" s="56" t="s">
        <v>233</v>
      </c>
      <c r="F1" s="56" t="s">
        <v>234</v>
      </c>
      <c r="G1" s="56" t="s">
        <v>235</v>
      </c>
      <c r="H1" s="56" t="s">
        <v>236</v>
      </c>
      <c r="I1" s="56" t="s">
        <v>237</v>
      </c>
      <c r="J1" s="56" t="s">
        <v>238</v>
      </c>
      <c r="K1" s="56" t="s">
        <v>13</v>
      </c>
      <c r="L1" s="58" t="s">
        <v>239</v>
      </c>
      <c r="M1" s="84" t="s">
        <v>240</v>
      </c>
      <c r="N1" s="85" t="s">
        <v>241</v>
      </c>
      <c r="O1" s="85" t="s">
        <v>242</v>
      </c>
      <c r="P1" s="56" t="s">
        <v>14</v>
      </c>
    </row>
    <row r="2" spans="1:16" s="178" customFormat="true" ht="39" customHeight="true">
      <c r="A2" s="86" t="s">
        <v>243</v>
      </c>
      <c r="B2" s="87" t="s">
        <v>244</v>
      </c>
      <c r="C2" s="86" t="s">
        <v>223</v>
      </c>
      <c r="D2" s="87" t="s">
        <v>245</v>
      </c>
      <c r="E2" s="88" t="s">
        <v>215</v>
      </c>
      <c r="F2" s="89" t="s">
        <v>246</v>
      </c>
      <c r="G2" s="90" t="s">
        <v>247</v>
      </c>
      <c r="H2" s="90" t="s">
        <v>248</v>
      </c>
      <c r="I2" s="90" t="s">
        <v>249</v>
      </c>
      <c r="J2" s="90" t="s">
        <v>250</v>
      </c>
      <c r="K2" s="91">
        <v>45777</v>
      </c>
      <c r="L2" s="92" t="s">
        <v>251</v>
      </c>
      <c r="M2" s="89" t="s">
        <v>252</v>
      </c>
      <c r="N2" s="89" t="s">
        <v>253</v>
      </c>
      <c r="O2" s="93" t="s">
        <v>254</v>
      </c>
      <c r="P2" s="93" t="s">
        <v>255</v>
      </c>
    </row>
    <row r="3" spans="1:16" s="178" customFormat="true" ht="39" customHeight="true">
      <c r="A3" s="94" t="s"/>
      <c r="B3" s="95" t="s"/>
      <c r="C3" s="94" t="s"/>
      <c r="D3" s="96" t="s"/>
      <c r="E3" s="97" t="s"/>
      <c r="F3" s="89" t="s">
        <v>256</v>
      </c>
      <c r="G3" s="90" t="s">
        <v>248</v>
      </c>
      <c r="H3" s="90" t="s">
        <v>257</v>
      </c>
      <c r="I3" s="90" t="s">
        <v>258</v>
      </c>
      <c r="J3" s="90" t="s">
        <v>259</v>
      </c>
      <c r="K3" s="91">
        <v>45777</v>
      </c>
      <c r="L3" s="63" t="s"/>
      <c r="M3" s="89" t="s">
        <v>252</v>
      </c>
      <c r="N3" s="89" t="s">
        <v>253</v>
      </c>
      <c r="O3" s="63" t="s"/>
      <c r="P3" s="63" t="s"/>
    </row>
    <row r="4" spans="1:16" s="178" customFormat="true" ht="39" customHeight="true">
      <c r="A4" s="63" t="s"/>
      <c r="B4" s="63" t="s"/>
      <c r="C4" s="63" t="s"/>
      <c r="D4" s="63" t="s"/>
      <c r="E4" s="98" t="s"/>
      <c r="F4" s="89" t="s">
        <v>260</v>
      </c>
      <c r="G4" s="90" t="s">
        <v>249</v>
      </c>
      <c r="H4" s="90" t="s">
        <v>249</v>
      </c>
      <c r="I4" s="90" t="s">
        <v>250</v>
      </c>
      <c r="J4" s="90" t="s">
        <v>261</v>
      </c>
      <c r="K4" s="91">
        <v>45777</v>
      </c>
      <c r="L4" s="63" t="s"/>
      <c r="M4" s="89" t="s">
        <v>252</v>
      </c>
      <c r="N4" s="89" t="s">
        <v>253</v>
      </c>
      <c r="O4" s="63" t="s"/>
      <c r="P4" s="63" t="s"/>
    </row>
    <row r="5" spans="1:16" s="178" customFormat="true" ht="39" customHeight="true">
      <c r="A5" s="63" t="s"/>
      <c r="B5" s="63" t="s"/>
      <c r="C5" s="63" t="s"/>
      <c r="D5" s="63" t="s"/>
      <c r="E5" s="98" t="s"/>
      <c r="F5" s="89" t="s">
        <v>262</v>
      </c>
      <c r="G5" s="90" t="s">
        <v>258</v>
      </c>
      <c r="H5" s="90" t="s">
        <v>258</v>
      </c>
      <c r="I5" s="90" t="s">
        <v>259</v>
      </c>
      <c r="J5" s="90" t="s">
        <v>263</v>
      </c>
      <c r="K5" s="91">
        <v>45777</v>
      </c>
      <c r="L5" s="63" t="s"/>
      <c r="M5" s="89" t="s">
        <v>252</v>
      </c>
      <c r="N5" s="89" t="s">
        <v>253</v>
      </c>
      <c r="O5" s="63" t="s"/>
      <c r="P5" s="63" t="s"/>
    </row>
    <row r="6" spans="1:16" s="178" customFormat="true" ht="39" customHeight="true">
      <c r="A6" s="99" t="s"/>
      <c r="B6" s="99" t="s"/>
      <c r="C6" s="99" t="s"/>
      <c r="D6" s="99" t="s"/>
      <c r="E6" s="100" t="s"/>
      <c r="F6" s="89" t="s">
        <v>264</v>
      </c>
      <c r="G6" s="90" t="s">
        <v>250</v>
      </c>
      <c r="H6" s="90" t="s">
        <v>250</v>
      </c>
      <c r="I6" s="90" t="s">
        <v>259</v>
      </c>
      <c r="J6" s="90" t="s">
        <v>263</v>
      </c>
      <c r="K6" s="91">
        <v>45777</v>
      </c>
      <c r="L6" s="99" t="s"/>
      <c r="M6" s="89" t="s">
        <v>252</v>
      </c>
      <c r="N6" s="89" t="s">
        <v>253</v>
      </c>
      <c r="O6" s="99" t="s"/>
      <c r="P6" s="99" t="s"/>
    </row>
    <row r="7" spans="1:16" s="178" customFormat="true">
      <c r="A7" s="58" t="s">
        <v>232</v>
      </c>
      <c r="B7" s="56" t="s">
        <v>209</v>
      </c>
      <c r="C7" s="56" t="s">
        <v>4</v>
      </c>
      <c r="D7" s="57" t="s">
        <v>210</v>
      </c>
      <c r="E7" s="56" t="s">
        <v>233</v>
      </c>
      <c r="F7" s="58" t="s">
        <v>265</v>
      </c>
      <c r="G7" s="56" t="s">
        <v>266</v>
      </c>
      <c r="H7" s="101" t="s">
        <v>267</v>
      </c>
      <c r="I7" s="102" t="s"/>
      <c r="J7" s="101" t="s">
        <v>268</v>
      </c>
      <c r="K7" s="102" t="s"/>
      <c r="L7" s="84" t="s">
        <v>240</v>
      </c>
      <c r="M7" s="85" t="s">
        <v>241</v>
      </c>
      <c r="N7" s="57" t="s">
        <v>210</v>
      </c>
      <c r="O7" s="56" t="s">
        <v>242</v>
      </c>
      <c r="P7" s="56" t="s">
        <v>14</v>
      </c>
    </row>
    <row r="8" spans="1:16" s="179" customFormat="true" ht="27.75" customHeight="true">
      <c r="A8" s="60" t="s">
        <v>269</v>
      </c>
      <c r="B8" s="60" t="s">
        <v>270</v>
      </c>
      <c r="C8" s="60" t="s">
        <v>271</v>
      </c>
      <c r="D8" s="60" t="s">
        <v>215</v>
      </c>
      <c r="E8" s="60" t="s">
        <v>215</v>
      </c>
      <c r="F8" s="103" t="s">
        <v>272</v>
      </c>
      <c r="G8" s="60" t="s">
        <v>273</v>
      </c>
      <c r="H8" s="104" t="s">
        <v>274</v>
      </c>
      <c r="I8" s="102" t="s"/>
      <c r="J8" s="105" t="s">
        <v>275</v>
      </c>
      <c r="K8" s="102" t="s"/>
      <c r="L8" s="60" t="s">
        <v>276</v>
      </c>
      <c r="M8" s="60" t="s">
        <v>277</v>
      </c>
      <c r="N8" s="60" t="s">
        <v>277</v>
      </c>
      <c r="O8" s="106" t="s">
        <v>278</v>
      </c>
      <c r="P8" s="62" t="s">
        <v>279</v>
      </c>
    </row>
    <row r="9" spans="1:16" s="179" customFormat="true">
      <c r="A9" s="60" t="s">
        <v>269</v>
      </c>
      <c r="B9" s="60" t="s">
        <v>280</v>
      </c>
      <c r="C9" s="60" t="s">
        <v>271</v>
      </c>
      <c r="D9" s="60" t="s">
        <v>215</v>
      </c>
      <c r="E9" s="60" t="s">
        <v>215</v>
      </c>
      <c r="F9" s="99" t="s"/>
      <c r="G9" s="60" t="s">
        <v>273</v>
      </c>
      <c r="H9" s="104" t="s">
        <v>281</v>
      </c>
      <c r="I9" s="102" t="s"/>
      <c r="J9" s="105" t="s">
        <v>275</v>
      </c>
      <c r="K9" s="102" t="s"/>
      <c r="L9" s="60" t="s">
        <v>276</v>
      </c>
      <c r="M9" s="60" t="s">
        <v>277</v>
      </c>
      <c r="N9" s="60" t="s">
        <v>277</v>
      </c>
      <c r="O9" s="63" t="s"/>
      <c r="P9" s="63" t="s"/>
    </row>
    <row r="10" spans="1:16" s="179" customFormat="true">
      <c r="A10" s="60" t="s">
        <v>269</v>
      </c>
      <c r="B10" s="60" t="s">
        <v>270</v>
      </c>
      <c r="C10" s="60" t="s">
        <v>271</v>
      </c>
      <c r="D10" s="60" t="s">
        <v>215</v>
      </c>
      <c r="E10" s="60" t="s">
        <v>215</v>
      </c>
      <c r="F10" s="103" t="s">
        <v>282</v>
      </c>
      <c r="G10" s="60" t="s">
        <v>273</v>
      </c>
      <c r="H10" s="104" t="s">
        <v>283</v>
      </c>
      <c r="I10" s="102" t="s"/>
      <c r="J10" s="105" t="s">
        <v>275</v>
      </c>
      <c r="K10" s="102" t="s"/>
      <c r="L10" s="60" t="s">
        <v>276</v>
      </c>
      <c r="M10" s="60" t="s">
        <v>277</v>
      </c>
      <c r="N10" s="60" t="s">
        <v>277</v>
      </c>
      <c r="O10" s="63" t="s"/>
      <c r="P10" s="63" t="s"/>
    </row>
    <row r="11" spans="1:16" s="179" customFormat="true">
      <c r="A11" s="60" t="s">
        <v>269</v>
      </c>
      <c r="B11" s="60" t="s">
        <v>280</v>
      </c>
      <c r="C11" s="60" t="s">
        <v>271</v>
      </c>
      <c r="D11" s="60" t="s">
        <v>215</v>
      </c>
      <c r="E11" s="60" t="s">
        <v>215</v>
      </c>
      <c r="F11" s="99" t="s"/>
      <c r="G11" s="60" t="s">
        <v>273</v>
      </c>
      <c r="H11" s="104" t="s">
        <v>284</v>
      </c>
      <c r="I11" s="102" t="s"/>
      <c r="J11" s="105" t="s">
        <v>275</v>
      </c>
      <c r="K11" s="102" t="s"/>
      <c r="L11" s="60" t="s">
        <v>276</v>
      </c>
      <c r="M11" s="60" t="s">
        <v>277</v>
      </c>
      <c r="N11" s="60" t="s">
        <v>277</v>
      </c>
      <c r="O11" s="63" t="s"/>
      <c r="P11" s="63" t="s"/>
    </row>
    <row r="12" spans="1:16" s="180" customFormat="true">
      <c r="A12" s="60" t="s">
        <v>269</v>
      </c>
      <c r="B12" s="60" t="s">
        <v>270</v>
      </c>
      <c r="C12" s="60" t="s">
        <v>271</v>
      </c>
      <c r="D12" s="60" t="s">
        <v>215</v>
      </c>
      <c r="E12" s="60" t="s">
        <v>215</v>
      </c>
      <c r="F12" s="103" t="s">
        <v>285</v>
      </c>
      <c r="G12" s="60" t="s">
        <v>273</v>
      </c>
      <c r="H12" s="104" t="s">
        <v>286</v>
      </c>
      <c r="I12" s="102" t="s"/>
      <c r="J12" s="105" t="s">
        <v>275</v>
      </c>
      <c r="K12" s="102" t="s"/>
      <c r="L12" s="60" t="s">
        <v>276</v>
      </c>
      <c r="M12" s="60" t="s">
        <v>287</v>
      </c>
      <c r="N12" s="60" t="s">
        <v>287</v>
      </c>
      <c r="O12" s="63" t="s"/>
      <c r="P12" s="63" t="s"/>
    </row>
    <row r="13" spans="1:16" s="180" customFormat="true">
      <c r="A13" s="60" t="s">
        <v>269</v>
      </c>
      <c r="B13" s="60" t="s">
        <v>280</v>
      </c>
      <c r="C13" s="60" t="s">
        <v>271</v>
      </c>
      <c r="D13" s="60" t="s">
        <v>215</v>
      </c>
      <c r="E13" s="60" t="s">
        <v>215</v>
      </c>
      <c r="F13" s="99" t="s"/>
      <c r="G13" s="60" t="s">
        <v>273</v>
      </c>
      <c r="H13" s="104" t="s">
        <v>288</v>
      </c>
      <c r="I13" s="102" t="s"/>
      <c r="J13" s="105" t="s">
        <v>275</v>
      </c>
      <c r="K13" s="102" t="s"/>
      <c r="L13" s="60" t="s">
        <v>276</v>
      </c>
      <c r="M13" s="60" t="s">
        <v>287</v>
      </c>
      <c r="N13" s="60" t="s">
        <v>287</v>
      </c>
      <c r="O13" s="63" t="s"/>
      <c r="P13" s="63" t="s"/>
    </row>
    <row r="14" spans="1:16" s="180" customFormat="true">
      <c r="A14" s="60" t="s">
        <v>269</v>
      </c>
      <c r="B14" s="60" t="s">
        <v>270</v>
      </c>
      <c r="C14" s="60" t="s">
        <v>271</v>
      </c>
      <c r="D14" s="60" t="s">
        <v>55</v>
      </c>
      <c r="E14" s="60" t="s">
        <v>55</v>
      </c>
      <c r="F14" s="103" t="s">
        <v>285</v>
      </c>
      <c r="G14" s="60" t="s">
        <v>273</v>
      </c>
      <c r="H14" s="104" t="s">
        <v>289</v>
      </c>
      <c r="I14" s="102" t="s"/>
      <c r="J14" s="105" t="s">
        <v>275</v>
      </c>
      <c r="K14" s="102" t="s"/>
      <c r="L14" s="60" t="s">
        <v>276</v>
      </c>
      <c r="M14" s="60" t="s">
        <v>277</v>
      </c>
      <c r="N14" s="60" t="s">
        <v>277</v>
      </c>
      <c r="O14" s="63" t="s"/>
      <c r="P14" s="63" t="s"/>
    </row>
    <row r="15" spans="1:16" s="180" customFormat="true">
      <c r="A15" s="60" t="s">
        <v>269</v>
      </c>
      <c r="B15" s="60" t="s">
        <v>280</v>
      </c>
      <c r="C15" s="60" t="s">
        <v>271</v>
      </c>
      <c r="D15" s="60" t="s">
        <v>55</v>
      </c>
      <c r="E15" s="60" t="s">
        <v>55</v>
      </c>
      <c r="F15" s="99" t="s"/>
      <c r="G15" s="60" t="s">
        <v>273</v>
      </c>
      <c r="H15" s="104" t="s">
        <v>290</v>
      </c>
      <c r="I15" s="102" t="s"/>
      <c r="J15" s="105" t="s">
        <v>275</v>
      </c>
      <c r="K15" s="102" t="s"/>
      <c r="L15" s="60" t="s">
        <v>276</v>
      </c>
      <c r="M15" s="60" t="s">
        <v>277</v>
      </c>
      <c r="N15" s="60" t="s">
        <v>277</v>
      </c>
      <c r="O15" s="63" t="s"/>
      <c r="P15" s="63" t="s"/>
    </row>
    <row r="16" spans="1:16" s="180" customFormat="true">
      <c r="A16" s="60" t="s">
        <v>269</v>
      </c>
      <c r="B16" s="60" t="s">
        <v>270</v>
      </c>
      <c r="C16" s="60" t="s">
        <v>271</v>
      </c>
      <c r="D16" s="60" t="s">
        <v>291</v>
      </c>
      <c r="E16" s="60" t="s">
        <v>291</v>
      </c>
      <c r="F16" s="103" t="s">
        <v>285</v>
      </c>
      <c r="G16" s="60" t="s">
        <v>273</v>
      </c>
      <c r="H16" s="104" t="s">
        <v>283</v>
      </c>
      <c r="I16" s="102" t="s"/>
      <c r="J16" s="105" t="s">
        <v>275</v>
      </c>
      <c r="K16" s="102" t="s"/>
      <c r="L16" s="60" t="s">
        <v>276</v>
      </c>
      <c r="M16" s="60" t="s">
        <v>277</v>
      </c>
      <c r="N16" s="60" t="s">
        <v>277</v>
      </c>
      <c r="O16" s="63" t="s"/>
      <c r="P16" s="63" t="s"/>
    </row>
    <row r="17" spans="1:16" s="180" customFormat="true">
      <c r="A17" s="60" t="s">
        <v>269</v>
      </c>
      <c r="B17" s="60" t="s">
        <v>280</v>
      </c>
      <c r="C17" s="60" t="s">
        <v>271</v>
      </c>
      <c r="D17" s="60" t="s">
        <v>291</v>
      </c>
      <c r="E17" s="60" t="s">
        <v>291</v>
      </c>
      <c r="F17" s="99" t="s"/>
      <c r="G17" s="60" t="s">
        <v>273</v>
      </c>
      <c r="H17" s="104" t="s">
        <v>292</v>
      </c>
      <c r="I17" s="102" t="s"/>
      <c r="J17" s="105" t="s">
        <v>275</v>
      </c>
      <c r="K17" s="102" t="s"/>
      <c r="L17" s="60" t="s">
        <v>276</v>
      </c>
      <c r="M17" s="60" t="s">
        <v>277</v>
      </c>
      <c r="N17" s="60" t="s">
        <v>277</v>
      </c>
      <c r="O17" s="99" t="s"/>
      <c r="P17" s="99" t="s"/>
    </row>
    <row r="18" spans="1:16" s="181" customFormat="true">
      <c r="A18" s="107" t="s">
        <v>293</v>
      </c>
      <c r="B18" s="108" t="s"/>
      <c r="C18" s="108" t="s"/>
      <c r="D18" s="108" t="s"/>
      <c r="E18" s="108" t="s"/>
      <c r="F18" s="109" t="s"/>
      <c r="G18" s="108" t="s"/>
      <c r="H18" s="108" t="s"/>
      <c r="I18" s="108" t="s"/>
      <c r="J18" s="108" t="s"/>
      <c r="K18" s="108" t="s"/>
      <c r="L18" s="108" t="s"/>
      <c r="M18" s="108" t="s"/>
      <c r="N18" s="108" t="s"/>
      <c r="O18" s="109" t="s"/>
      <c r="P18" s="110" t="s"/>
    </row>
    <row r="19" spans="1:16" s="181" customFormat="true">
      <c r="A19" s="64" t="s"/>
      <c r="B19" s="64" t="s"/>
      <c r="C19" s="64" t="s"/>
      <c r="D19" s="111" t="s"/>
      <c r="E19" s="111" t="s"/>
      <c r="F19" s="112" t="s"/>
      <c r="G19" s="113" t="s"/>
      <c r="H19" s="114" t="s"/>
      <c r="I19" s="115" t="s"/>
      <c r="J19" s="116" t="s"/>
      <c r="K19" s="117" t="s"/>
      <c r="L19" s="118" t="s"/>
      <c r="M19" s="118" t="s"/>
      <c r="N19" s="118" t="s"/>
      <c r="O19" s="119" t="s"/>
      <c r="P19" s="120" t="s"/>
    </row>
    <row r="20" spans="1:16" s="182" customFormat="true">
      <c r="A20" s="121" t="s">
        <v>232</v>
      </c>
      <c r="B20" s="121" t="s">
        <v>209</v>
      </c>
      <c r="C20" s="121" t="s">
        <v>4</v>
      </c>
      <c r="D20" s="122" t="s">
        <v>210</v>
      </c>
      <c r="E20" s="121" t="s">
        <v>233</v>
      </c>
      <c r="F20" s="123" t="s">
        <v>234</v>
      </c>
      <c r="G20" s="124" t="s">
        <v>294</v>
      </c>
      <c r="H20" s="124" t="s">
        <v>295</v>
      </c>
      <c r="I20" s="124" t="s">
        <v>296</v>
      </c>
      <c r="J20" s="124" t="s">
        <v>297</v>
      </c>
      <c r="K20" s="125" t="s">
        <v>298</v>
      </c>
      <c r="L20" s="126" t="s">
        <v>299</v>
      </c>
      <c r="M20" s="124" t="s">
        <v>300</v>
      </c>
      <c r="N20" s="127" t="s">
        <v>268</v>
      </c>
      <c r="O20" s="121" t="s">
        <v>242</v>
      </c>
      <c r="P20" s="121" t="s">
        <v>14</v>
      </c>
    </row>
    <row r="21" spans="1:16" s="183" customFormat="true">
      <c r="A21" s="99" t="s"/>
      <c r="B21" s="99" t="s"/>
      <c r="C21" s="99" t="s"/>
      <c r="D21" s="99" t="s"/>
      <c r="E21" s="99" t="s"/>
      <c r="F21" s="100" t="s"/>
      <c r="G21" s="124" t="s">
        <v>301</v>
      </c>
      <c r="H21" s="128" t="s"/>
      <c r="I21" s="124" t="s"/>
      <c r="J21" s="128" t="s"/>
      <c r="K21" s="129" t="s">
        <v>302</v>
      </c>
      <c r="L21" s="130" t="s">
        <v>303</v>
      </c>
      <c r="M21" s="85" t="s">
        <v>304</v>
      </c>
      <c r="N21" s="99" t="s"/>
      <c r="O21" s="99" t="s"/>
      <c r="P21" s="99" t="s"/>
    </row>
    <row r="22" spans="1:16" s="182" customFormat="true" ht="53.25" customHeight="true">
      <c r="A22" s="76" t="s">
        <v>305</v>
      </c>
      <c r="B22" s="76" t="s">
        <v>306</v>
      </c>
      <c r="C22" s="72" t="s">
        <v>223</v>
      </c>
      <c r="D22" s="72" t="s">
        <v>307</v>
      </c>
      <c r="E22" s="72" t="s">
        <v>55</v>
      </c>
      <c r="F22" s="131" t="s">
        <v>308</v>
      </c>
      <c r="G22" s="132" t="s">
        <v>272</v>
      </c>
      <c r="H22" s="132" t="s">
        <v>309</v>
      </c>
      <c r="I22" s="132" t="s">
        <v>310</v>
      </c>
      <c r="J22" s="132" t="s">
        <v>311</v>
      </c>
      <c r="K22" s="133" t="s">
        <v>312</v>
      </c>
      <c r="L22" s="132" t="s">
        <v>313</v>
      </c>
      <c r="M22" s="132" t="s">
        <v>314</v>
      </c>
      <c r="N22" s="72" t="s">
        <v>315</v>
      </c>
      <c r="O22" s="134" t="s">
        <v>316</v>
      </c>
      <c r="P22" s="135" t="s">
        <v>380</v>
      </c>
    </row>
    <row r="23" spans="1:16" s="183" customFormat="true" ht="53.25" customHeight="true">
      <c r="A23" s="63" t="s"/>
      <c r="B23" s="63" t="s"/>
      <c r="C23" s="72" t="s">
        <v>223</v>
      </c>
      <c r="D23" s="72" t="s">
        <v>307</v>
      </c>
      <c r="E23" s="72" t="s">
        <v>55</v>
      </c>
      <c r="F23" s="136" t="s">
        <v>317</v>
      </c>
      <c r="G23" s="132" t="s">
        <v>272</v>
      </c>
      <c r="H23" s="132" t="s">
        <v>313</v>
      </c>
      <c r="I23" s="132" t="s">
        <v>318</v>
      </c>
      <c r="J23" s="132" t="s">
        <v>319</v>
      </c>
      <c r="K23" s="133" t="s">
        <v>314</v>
      </c>
      <c r="L23" s="132" t="s">
        <v>320</v>
      </c>
      <c r="M23" s="132" t="s">
        <v>321</v>
      </c>
      <c r="N23" s="72" t="s">
        <v>315</v>
      </c>
      <c r="O23" s="63" t="s"/>
      <c r="P23" s="63" t="s"/>
    </row>
    <row r="24" spans="1:16" s="182" customFormat="true" ht="53.25" customHeight="true">
      <c r="A24" s="63" t="s"/>
      <c r="B24" s="63" t="s"/>
      <c r="C24" s="72" t="s">
        <v>223</v>
      </c>
      <c r="D24" s="72" t="s">
        <v>307</v>
      </c>
      <c r="E24" s="72" t="s">
        <v>55</v>
      </c>
      <c r="F24" s="136" t="s">
        <v>308</v>
      </c>
      <c r="G24" s="137" t="s">
        <v>322</v>
      </c>
      <c r="H24" s="138" t="s">
        <v>312</v>
      </c>
      <c r="I24" s="138" t="s">
        <v>313</v>
      </c>
      <c r="J24" s="138" t="s">
        <v>318</v>
      </c>
      <c r="K24" s="139" t="s">
        <v>319</v>
      </c>
      <c r="L24" s="132" t="s">
        <v>314</v>
      </c>
      <c r="M24" s="132" t="s">
        <v>323</v>
      </c>
      <c r="N24" s="72" t="s">
        <v>315</v>
      </c>
      <c r="O24" s="63" t="s"/>
      <c r="P24" s="63" t="s"/>
    </row>
    <row r="25" spans="1:16" s="182" customFormat="true" ht="53.25" customHeight="true">
      <c r="A25" s="99" t="s"/>
      <c r="B25" s="70" t="s"/>
      <c r="C25" s="72" t="s">
        <v>223</v>
      </c>
      <c r="D25" s="72" t="s">
        <v>307</v>
      </c>
      <c r="E25" s="72" t="s">
        <v>55</v>
      </c>
      <c r="F25" s="136" t="s">
        <v>317</v>
      </c>
      <c r="G25" s="137" t="s">
        <v>322</v>
      </c>
      <c r="H25" s="140" t="s">
        <v>314</v>
      </c>
      <c r="I25" s="140" t="s">
        <v>320</v>
      </c>
      <c r="J25" s="138" t="s">
        <v>321</v>
      </c>
      <c r="K25" s="139" t="s">
        <v>323</v>
      </c>
      <c r="L25" s="132" t="s">
        <v>324</v>
      </c>
      <c r="M25" s="132" t="s">
        <v>325</v>
      </c>
      <c r="N25" s="72" t="s">
        <v>315</v>
      </c>
      <c r="O25" s="63" t="s"/>
      <c r="P25" s="63" t="s"/>
    </row>
    <row r="26" spans="1:16" s="182" customFormat="true" ht="53.25" customHeight="true">
      <c r="A26" s="76" t="s">
        <v>305</v>
      </c>
      <c r="B26" s="141" t="s">
        <v>326</v>
      </c>
      <c r="C26" s="72" t="s">
        <v>223</v>
      </c>
      <c r="D26" s="72" t="s">
        <v>307</v>
      </c>
      <c r="E26" s="72" t="s">
        <v>55</v>
      </c>
      <c r="F26" s="131" t="s">
        <v>308</v>
      </c>
      <c r="G26" s="132" t="s">
        <v>272</v>
      </c>
      <c r="H26" s="132" t="s">
        <v>312</v>
      </c>
      <c r="I26" s="132" t="s">
        <v>313</v>
      </c>
      <c r="J26" s="132" t="s">
        <v>318</v>
      </c>
      <c r="K26" s="139" t="s">
        <v>319</v>
      </c>
      <c r="L26" s="132" t="s">
        <v>314</v>
      </c>
      <c r="M26" s="132" t="s">
        <v>323</v>
      </c>
      <c r="N26" s="72" t="s">
        <v>315</v>
      </c>
      <c r="O26" s="63" t="s"/>
      <c r="P26" s="63" t="s"/>
    </row>
    <row r="27" spans="1:16" s="182" customFormat="true" ht="53.25" customHeight="true">
      <c r="A27" s="63" t="s"/>
      <c r="B27" s="63" t="s"/>
      <c r="C27" s="72" t="s">
        <v>223</v>
      </c>
      <c r="D27" s="72" t="s">
        <v>307</v>
      </c>
      <c r="E27" s="72" t="s">
        <v>55</v>
      </c>
      <c r="F27" s="136" t="s">
        <v>317</v>
      </c>
      <c r="G27" s="132" t="s">
        <v>272</v>
      </c>
      <c r="H27" s="132" t="s">
        <v>319</v>
      </c>
      <c r="I27" s="132" t="s">
        <v>320</v>
      </c>
      <c r="J27" s="132" t="s">
        <v>321</v>
      </c>
      <c r="K27" s="139" t="s">
        <v>323</v>
      </c>
      <c r="L27" s="132" t="s">
        <v>324</v>
      </c>
      <c r="M27" s="132" t="s">
        <v>325</v>
      </c>
      <c r="N27" s="72" t="s">
        <v>315</v>
      </c>
      <c r="O27" s="63" t="s"/>
      <c r="P27" s="63" t="s"/>
    </row>
    <row r="28" spans="1:16" s="182" customFormat="true" ht="53.25" customHeight="true">
      <c r="A28" s="63" t="s"/>
      <c r="B28" s="63" t="s"/>
      <c r="C28" s="72" t="s">
        <v>223</v>
      </c>
      <c r="D28" s="72" t="s">
        <v>307</v>
      </c>
      <c r="E28" s="72" t="s">
        <v>55</v>
      </c>
      <c r="F28" s="131" t="s">
        <v>308</v>
      </c>
      <c r="G28" s="137" t="s">
        <v>322</v>
      </c>
      <c r="H28" s="132" t="s">
        <v>319</v>
      </c>
      <c r="I28" s="132" t="s">
        <v>314</v>
      </c>
      <c r="J28" s="132" t="s">
        <v>320</v>
      </c>
      <c r="K28" s="139" t="s">
        <v>321</v>
      </c>
      <c r="L28" s="132" t="s">
        <v>327</v>
      </c>
      <c r="M28" s="132" t="s">
        <v>328</v>
      </c>
      <c r="N28" s="72" t="s">
        <v>315</v>
      </c>
      <c r="O28" s="63" t="s"/>
      <c r="P28" s="63" t="s"/>
    </row>
    <row r="29" spans="1:16" s="182" customFormat="true" ht="53.25" customHeight="true">
      <c r="A29" s="99" t="s"/>
      <c r="B29" s="99" t="s"/>
      <c r="C29" s="72" t="s">
        <v>223</v>
      </c>
      <c r="D29" s="72" t="s">
        <v>307</v>
      </c>
      <c r="E29" s="72" t="s">
        <v>55</v>
      </c>
      <c r="F29" s="136" t="s">
        <v>329</v>
      </c>
      <c r="G29" s="137" t="s">
        <v>322</v>
      </c>
      <c r="H29" s="132" t="s">
        <v>321</v>
      </c>
      <c r="I29" s="132" t="s">
        <v>324</v>
      </c>
      <c r="J29" s="132" t="s">
        <v>325</v>
      </c>
      <c r="K29" s="139" t="s">
        <v>328</v>
      </c>
      <c r="L29" s="132" t="s">
        <v>274</v>
      </c>
      <c r="M29" s="132" t="s">
        <v>330</v>
      </c>
      <c r="N29" s="72" t="s">
        <v>315</v>
      </c>
      <c r="O29" s="99" t="s"/>
      <c r="P29" s="99" t="s"/>
    </row>
    <row r="30" spans="1:16" s="182" customFormat="true">
      <c r="A30" s="121" t="s">
        <v>232</v>
      </c>
      <c r="B30" s="121" t="s">
        <v>209</v>
      </c>
      <c r="C30" s="121" t="s">
        <v>4</v>
      </c>
      <c r="D30" s="122" t="s">
        <v>210</v>
      </c>
      <c r="E30" s="121" t="s">
        <v>233</v>
      </c>
      <c r="F30" s="123" t="s">
        <v>234</v>
      </c>
      <c r="G30" s="124" t="s">
        <v>294</v>
      </c>
      <c r="H30" s="124" t="s">
        <v>331</v>
      </c>
      <c r="I30" s="124" t="s">
        <v>332</v>
      </c>
      <c r="J30" s="124" t="s">
        <v>333</v>
      </c>
      <c r="K30" s="127" t="s">
        <v>268</v>
      </c>
      <c r="L30" s="142" t="s">
        <v>242</v>
      </c>
      <c r="M30" s="143" t="s"/>
      <c r="N30" s="27" t="s"/>
      <c r="O30" s="123" t="s">
        <v>14</v>
      </c>
      <c r="P30" s="144" t="s"/>
    </row>
    <row r="31" spans="1:16" s="182" customFormat="true">
      <c r="A31" s="99" t="s"/>
      <c r="B31" s="99" t="s"/>
      <c r="C31" s="99" t="s"/>
      <c r="D31" s="99" t="s"/>
      <c r="E31" s="99" t="s"/>
      <c r="F31" s="100" t="s"/>
      <c r="G31" s="124" t="s">
        <v>301</v>
      </c>
      <c r="H31" s="128" t="s"/>
      <c r="I31" s="124" t="s"/>
      <c r="J31" s="129" t="s">
        <v>334</v>
      </c>
      <c r="K31" s="99" t="s"/>
      <c r="L31" s="145" t="s"/>
      <c r="M31" s="146" t="s"/>
      <c r="N31" s="33" t="s"/>
      <c r="O31" s="32" t="s"/>
      <c r="P31" s="33" t="s"/>
    </row>
    <row r="32" spans="1:16" s="182" customFormat="true" ht="79.5" customHeight="true">
      <c r="A32" s="76" t="s">
        <v>305</v>
      </c>
      <c r="B32" s="72" t="s">
        <v>335</v>
      </c>
      <c r="C32" s="72" t="s">
        <v>223</v>
      </c>
      <c r="D32" s="72" t="s">
        <v>336</v>
      </c>
      <c r="E32" s="72" t="s">
        <v>215</v>
      </c>
      <c r="F32" s="131" t="s">
        <v>308</v>
      </c>
      <c r="G32" s="132" t="s">
        <v>272</v>
      </c>
      <c r="H32" s="72" t="s">
        <v>319</v>
      </c>
      <c r="I32" s="72" t="s">
        <v>314</v>
      </c>
      <c r="J32" s="72" t="s">
        <v>321</v>
      </c>
      <c r="K32" s="71" t="s">
        <v>315</v>
      </c>
      <c r="L32" s="147" t="s">
        <v>337</v>
      </c>
      <c r="M32" s="143" t="s"/>
      <c r="N32" s="27" t="s"/>
      <c r="O32" s="148" t="s">
        <v>381</v>
      </c>
      <c r="P32" s="27" t="s"/>
    </row>
    <row r="33" spans="1:16" s="182" customFormat="true" ht="79.5" customHeight="true">
      <c r="A33" s="63" t="s"/>
      <c r="B33" s="72" t="s">
        <v>335</v>
      </c>
      <c r="C33" s="72" t="s">
        <v>223</v>
      </c>
      <c r="D33" s="72" t="s">
        <v>336</v>
      </c>
      <c r="E33" s="72" t="s">
        <v>215</v>
      </c>
      <c r="F33" s="136" t="s">
        <v>317</v>
      </c>
      <c r="G33" s="132" t="s">
        <v>272</v>
      </c>
      <c r="H33" s="72" t="s">
        <v>320</v>
      </c>
      <c r="I33" s="72" t="s">
        <v>321</v>
      </c>
      <c r="J33" s="72" t="s">
        <v>323</v>
      </c>
      <c r="K33" s="71" t="s">
        <v>315</v>
      </c>
      <c r="L33" s="149" t="s"/>
      <c r="M33" s="150" t="s"/>
      <c r="N33" s="29" t="s"/>
      <c r="O33" s="28" t="s"/>
      <c r="P33" s="29" t="s"/>
    </row>
    <row r="34" spans="1:16" s="182" customFormat="true" ht="79.5" customHeight="true">
      <c r="A34" s="63" t="s"/>
      <c r="B34" s="72" t="s">
        <v>335</v>
      </c>
      <c r="C34" s="72" t="s">
        <v>223</v>
      </c>
      <c r="D34" s="72" t="s">
        <v>336</v>
      </c>
      <c r="E34" s="72" t="s">
        <v>215</v>
      </c>
      <c r="F34" s="131" t="s">
        <v>308</v>
      </c>
      <c r="G34" s="137" t="s">
        <v>322</v>
      </c>
      <c r="H34" s="72" t="s">
        <v>320</v>
      </c>
      <c r="I34" s="72" t="s">
        <v>321</v>
      </c>
      <c r="J34" s="72" t="s">
        <v>324</v>
      </c>
      <c r="K34" s="71" t="s">
        <v>315</v>
      </c>
      <c r="L34" s="149" t="s"/>
      <c r="M34" s="150" t="s"/>
      <c r="N34" s="29" t="s"/>
      <c r="O34" s="28" t="s"/>
      <c r="P34" s="29" t="s"/>
    </row>
    <row r="35" spans="1:16" s="182" customFormat="true" ht="79.5" customHeight="true">
      <c r="A35" s="99" t="s"/>
      <c r="B35" s="72" t="s">
        <v>335</v>
      </c>
      <c r="C35" s="72" t="s">
        <v>223</v>
      </c>
      <c r="D35" s="72" t="s">
        <v>336</v>
      </c>
      <c r="E35" s="72" t="s">
        <v>215</v>
      </c>
      <c r="F35" s="136" t="s">
        <v>329</v>
      </c>
      <c r="G35" s="137" t="s">
        <v>322</v>
      </c>
      <c r="H35" s="72" t="s">
        <v>323</v>
      </c>
      <c r="I35" s="72" t="s">
        <v>324</v>
      </c>
      <c r="J35" s="72" t="s">
        <v>325</v>
      </c>
      <c r="K35" s="71" t="s">
        <v>315</v>
      </c>
      <c r="L35" s="145" t="s"/>
      <c r="M35" s="146" t="s"/>
      <c r="N35" s="33" t="s"/>
      <c r="O35" s="32" t="s"/>
      <c r="P35" s="33" t="s"/>
    </row>
    <row r="36" spans="1:16" s="182" customFormat="true">
      <c r="A36" s="121" t="s">
        <v>232</v>
      </c>
      <c r="B36" s="121" t="s">
        <v>209</v>
      </c>
      <c r="C36" s="121" t="s">
        <v>4</v>
      </c>
      <c r="D36" s="122" t="s">
        <v>210</v>
      </c>
      <c r="E36" s="121" t="s">
        <v>233</v>
      </c>
      <c r="F36" s="123" t="s">
        <v>234</v>
      </c>
      <c r="G36" s="124" t="s">
        <v>294</v>
      </c>
      <c r="H36" s="124" t="s">
        <v>295</v>
      </c>
      <c r="I36" s="124" t="s">
        <v>296</v>
      </c>
      <c r="J36" s="124" t="s">
        <v>332</v>
      </c>
      <c r="K36" s="125" t="s">
        <v>299</v>
      </c>
      <c r="L36" s="126" t="s">
        <v>300</v>
      </c>
      <c r="M36" s="151" t="s">
        <v>268</v>
      </c>
      <c r="N36" s="142" t="s">
        <v>242</v>
      </c>
      <c r="O36" s="143" t="s"/>
      <c r="P36" s="121" t="s">
        <v>14</v>
      </c>
    </row>
    <row r="37" spans="1:16" s="182" customFormat="true">
      <c r="A37" s="99" t="s"/>
      <c r="B37" s="99" t="s"/>
      <c r="C37" s="99" t="s"/>
      <c r="D37" s="99" t="s"/>
      <c r="E37" s="99" t="s"/>
      <c r="F37" s="100" t="s"/>
      <c r="G37" s="124" t="s">
        <v>301</v>
      </c>
      <c r="H37" s="128" t="s"/>
      <c r="I37" s="124" t="s"/>
      <c r="J37" s="128" t="s"/>
      <c r="K37" s="129" t="s">
        <v>303</v>
      </c>
      <c r="L37" s="130" t="s">
        <v>338</v>
      </c>
      <c r="M37" s="152" t="s"/>
      <c r="N37" s="145" t="s"/>
      <c r="O37" s="146" t="s"/>
      <c r="P37" s="153" t="s"/>
    </row>
    <row r="38" spans="1:17" s="182" customFormat="true" ht="27.75" customHeight="true">
      <c r="A38" s="76" t="s">
        <v>305</v>
      </c>
      <c r="B38" s="76" t="s">
        <v>306</v>
      </c>
      <c r="C38" s="72" t="s">
        <v>223</v>
      </c>
      <c r="D38" s="71" t="s">
        <v>339</v>
      </c>
      <c r="E38" s="72" t="s">
        <v>215</v>
      </c>
      <c r="F38" s="131" t="s">
        <v>308</v>
      </c>
      <c r="G38" s="132" t="s">
        <v>272</v>
      </c>
      <c r="H38" s="132" t="s">
        <v>311</v>
      </c>
      <c r="I38" s="132" t="s">
        <v>312</v>
      </c>
      <c r="J38" s="132" t="s">
        <v>313</v>
      </c>
      <c r="K38" s="133" t="s">
        <v>319</v>
      </c>
      <c r="L38" s="132" t="s">
        <v>321</v>
      </c>
      <c r="M38" s="154" t="s">
        <v>315</v>
      </c>
      <c r="N38" s="155" t="s">
        <v>340</v>
      </c>
      <c r="O38" s="144" t="s"/>
      <c r="P38" s="156" t="s">
        <v>382</v>
      </c>
      <c r="Q38" s="144" t="s"/>
    </row>
    <row r="39" spans="1:17" s="182" customFormat="true" ht="42" customHeight="true">
      <c r="A39" s="63" t="s"/>
      <c r="B39" s="63" t="s"/>
      <c r="C39" s="72" t="s">
        <v>223</v>
      </c>
      <c r="D39" s="71" t="s">
        <v>339</v>
      </c>
      <c r="E39" s="72" t="s">
        <v>215</v>
      </c>
      <c r="F39" s="136" t="s">
        <v>317</v>
      </c>
      <c r="G39" s="132" t="s">
        <v>272</v>
      </c>
      <c r="H39" s="132" t="s">
        <v>319</v>
      </c>
      <c r="I39" s="132" t="s">
        <v>314</v>
      </c>
      <c r="J39" s="132" t="s">
        <v>320</v>
      </c>
      <c r="K39" s="133" t="s">
        <v>323</v>
      </c>
      <c r="L39" s="132" t="s">
        <v>328</v>
      </c>
      <c r="M39" s="154" t="s">
        <v>315</v>
      </c>
      <c r="N39" s="28" t="s"/>
      <c r="O39" s="29" t="s"/>
      <c r="P39" s="28" t="s"/>
      <c r="Q39" s="29" t="s"/>
    </row>
    <row r="40" spans="1:17" s="182" customFormat="true" ht="27.75" customHeight="true">
      <c r="A40" s="63" t="s"/>
      <c r="B40" s="63" t="s"/>
      <c r="C40" s="72" t="s">
        <v>223</v>
      </c>
      <c r="D40" s="71" t="s">
        <v>339</v>
      </c>
      <c r="E40" s="72" t="s">
        <v>215</v>
      </c>
      <c r="F40" s="136" t="s">
        <v>308</v>
      </c>
      <c r="G40" s="137" t="s">
        <v>322</v>
      </c>
      <c r="H40" s="138" t="s">
        <v>313</v>
      </c>
      <c r="I40" s="138" t="s">
        <v>318</v>
      </c>
      <c r="J40" s="138" t="s">
        <v>319</v>
      </c>
      <c r="K40" s="139" t="s">
        <v>320</v>
      </c>
      <c r="L40" s="132" t="s">
        <v>324</v>
      </c>
      <c r="M40" s="154" t="s">
        <v>315</v>
      </c>
      <c r="N40" s="28" t="s"/>
      <c r="O40" s="29" t="s"/>
      <c r="P40" s="28" t="s"/>
      <c r="Q40" s="29" t="s"/>
    </row>
    <row r="41" spans="1:17" s="182" customFormat="true" ht="42" customHeight="true">
      <c r="A41" s="99" t="s"/>
      <c r="B41" s="70" t="s"/>
      <c r="C41" s="72" t="s">
        <v>223</v>
      </c>
      <c r="D41" s="71" t="s">
        <v>339</v>
      </c>
      <c r="E41" s="72" t="s">
        <v>215</v>
      </c>
      <c r="F41" s="136" t="s">
        <v>317</v>
      </c>
      <c r="G41" s="137" t="s">
        <v>322</v>
      </c>
      <c r="H41" s="140" t="s">
        <v>320</v>
      </c>
      <c r="I41" s="140" t="s">
        <v>321</v>
      </c>
      <c r="J41" s="138" t="s">
        <v>323</v>
      </c>
      <c r="K41" s="139" t="s">
        <v>325</v>
      </c>
      <c r="L41" s="132" t="s">
        <v>330</v>
      </c>
      <c r="M41" s="154" t="s">
        <v>315</v>
      </c>
      <c r="N41" s="28" t="s"/>
      <c r="O41" s="29" t="s"/>
      <c r="P41" s="28" t="s"/>
      <c r="Q41" s="29" t="s"/>
    </row>
    <row r="42" spans="1:17" s="182" customFormat="true" ht="27.75" customHeight="true">
      <c r="A42" s="76" t="s">
        <v>305</v>
      </c>
      <c r="B42" s="141" t="s">
        <v>326</v>
      </c>
      <c r="C42" s="72" t="s">
        <v>223</v>
      </c>
      <c r="D42" s="71" t="s">
        <v>339</v>
      </c>
      <c r="E42" s="72" t="s">
        <v>215</v>
      </c>
      <c r="F42" s="131" t="s">
        <v>308</v>
      </c>
      <c r="G42" s="132" t="s">
        <v>272</v>
      </c>
      <c r="H42" s="132" t="s">
        <v>318</v>
      </c>
      <c r="I42" s="132" t="s">
        <v>319</v>
      </c>
      <c r="J42" s="132" t="s">
        <v>314</v>
      </c>
      <c r="K42" s="139" t="s">
        <v>321</v>
      </c>
      <c r="L42" s="132" t="s">
        <v>325</v>
      </c>
      <c r="M42" s="154" t="s">
        <v>315</v>
      </c>
      <c r="N42" s="28" t="s"/>
      <c r="O42" s="29" t="s"/>
      <c r="P42" s="28" t="s"/>
      <c r="Q42" s="29" t="s"/>
    </row>
    <row r="43" spans="1:17" s="182" customFormat="true" ht="42" customHeight="true">
      <c r="A43" s="63" t="s"/>
      <c r="B43" s="63" t="s"/>
      <c r="C43" s="72" t="s">
        <v>223</v>
      </c>
      <c r="D43" s="71" t="s">
        <v>339</v>
      </c>
      <c r="E43" s="72" t="s">
        <v>215</v>
      </c>
      <c r="F43" s="136" t="s">
        <v>317</v>
      </c>
      <c r="G43" s="132" t="s">
        <v>272</v>
      </c>
      <c r="H43" s="132" t="s">
        <v>321</v>
      </c>
      <c r="I43" s="132" t="s">
        <v>323</v>
      </c>
      <c r="J43" s="132" t="s">
        <v>324</v>
      </c>
      <c r="K43" s="139" t="s">
        <v>328</v>
      </c>
      <c r="L43" s="132" t="s">
        <v>281</v>
      </c>
      <c r="M43" s="154" t="s">
        <v>315</v>
      </c>
      <c r="N43" s="28" t="s"/>
      <c r="O43" s="29" t="s"/>
      <c r="P43" s="28" t="s"/>
      <c r="Q43" s="29" t="s"/>
    </row>
    <row r="44" spans="1:17" s="182" customFormat="true" ht="27.75" customHeight="true">
      <c r="A44" s="63" t="s"/>
      <c r="B44" s="63" t="s"/>
      <c r="C44" s="72" t="s">
        <v>223</v>
      </c>
      <c r="D44" s="71" t="s">
        <v>339</v>
      </c>
      <c r="E44" s="72" t="s">
        <v>215</v>
      </c>
      <c r="F44" s="131" t="s">
        <v>308</v>
      </c>
      <c r="G44" s="137" t="s">
        <v>322</v>
      </c>
      <c r="H44" s="132" t="s">
        <v>314</v>
      </c>
      <c r="I44" s="132" t="s">
        <v>320</v>
      </c>
      <c r="J44" s="132" t="s">
        <v>321</v>
      </c>
      <c r="K44" s="139" t="s">
        <v>324</v>
      </c>
      <c r="L44" s="132" t="s">
        <v>274</v>
      </c>
      <c r="M44" s="154" t="s">
        <v>315</v>
      </c>
      <c r="N44" s="28" t="s"/>
      <c r="O44" s="29" t="s"/>
      <c r="P44" s="28" t="s"/>
      <c r="Q44" s="29" t="s"/>
    </row>
    <row r="45" spans="1:17" s="182" customFormat="true" ht="42" customHeight="true">
      <c r="A45" s="99" t="s"/>
      <c r="B45" s="99" t="s"/>
      <c r="C45" s="72" t="s">
        <v>223</v>
      </c>
      <c r="D45" s="71" t="s">
        <v>339</v>
      </c>
      <c r="E45" s="72" t="s">
        <v>215</v>
      </c>
      <c r="F45" s="136" t="s">
        <v>329</v>
      </c>
      <c r="G45" s="137" t="s">
        <v>322</v>
      </c>
      <c r="H45" s="132" t="s">
        <v>324</v>
      </c>
      <c r="I45" s="132" t="s">
        <v>325</v>
      </c>
      <c r="J45" s="132" t="s">
        <v>328</v>
      </c>
      <c r="K45" s="139" t="s">
        <v>330</v>
      </c>
      <c r="L45" s="132" t="s">
        <v>283</v>
      </c>
      <c r="M45" s="154" t="s">
        <v>315</v>
      </c>
      <c r="N45" s="32" t="s"/>
      <c r="O45" s="33" t="s"/>
      <c r="P45" s="32" t="s"/>
      <c r="Q45" s="33" t="s"/>
    </row>
    <row r="46" spans="1:16" s="182" customFormat="true">
      <c r="A46" s="137" t="s"/>
      <c r="B46" s="72" t="s"/>
      <c r="C46" s="72" t="s"/>
      <c r="D46" s="72" t="s"/>
      <c r="E46" s="72" t="s"/>
      <c r="F46" s="131" t="s"/>
      <c r="G46" s="137" t="s"/>
      <c r="H46" s="72" t="s"/>
      <c r="I46" s="72" t="s"/>
      <c r="J46" s="72" t="s"/>
      <c r="K46" s="157" t="s"/>
      <c r="L46" s="158" t="s"/>
      <c r="M46" s="158" t="s"/>
      <c r="N46" s="159" t="s"/>
      <c r="O46" s="160" t="s"/>
      <c r="P46" s="159" t="s"/>
    </row>
    <row r="47" spans="1:16" s="182" customFormat="true">
      <c r="A47" s="137" t="s"/>
      <c r="B47" s="72" t="s"/>
      <c r="C47" s="72" t="s"/>
      <c r="D47" s="72" t="s"/>
      <c r="E47" s="72" t="s"/>
      <c r="F47" s="131" t="s"/>
      <c r="G47" s="137" t="s"/>
      <c r="H47" s="72" t="s"/>
      <c r="I47" s="72" t="s"/>
      <c r="J47" s="72" t="s"/>
      <c r="K47" s="157" t="s"/>
      <c r="L47" s="158" t="s"/>
      <c r="M47" s="158" t="s"/>
      <c r="N47" s="159" t="s"/>
      <c r="O47" s="160" t="s"/>
      <c r="P47" s="159" t="s"/>
    </row>
    <row r="48" spans="1:16" s="182" customFormat="true">
      <c r="A48" s="137" t="s"/>
      <c r="B48" s="72" t="s"/>
      <c r="C48" s="72" t="s"/>
      <c r="D48" s="72" t="s"/>
      <c r="E48" s="72" t="s"/>
      <c r="F48" s="131" t="s"/>
      <c r="G48" s="137" t="s"/>
      <c r="H48" s="72" t="s"/>
      <c r="I48" s="72" t="s"/>
      <c r="J48" s="72" t="s"/>
      <c r="K48" s="157" t="s"/>
      <c r="L48" s="158" t="s"/>
      <c r="M48" s="158" t="s"/>
      <c r="N48" s="159" t="s"/>
      <c r="O48" s="160" t="s"/>
      <c r="P48" s="159" t="s"/>
    </row>
    <row r="49" spans="1:16" s="182" customFormat="true">
      <c r="A49" s="137" t="s"/>
      <c r="B49" s="72" t="s"/>
      <c r="C49" s="72" t="s"/>
      <c r="D49" s="72" t="s"/>
      <c r="E49" s="72" t="s"/>
      <c r="F49" s="131" t="s"/>
      <c r="G49" s="137" t="s"/>
      <c r="H49" s="72" t="s"/>
      <c r="I49" s="72" t="s"/>
      <c r="J49" s="72" t="s"/>
      <c r="K49" s="157" t="s"/>
      <c r="L49" s="158" t="s"/>
      <c r="M49" s="158" t="s"/>
      <c r="N49" s="159" t="s"/>
      <c r="O49" s="160" t="s"/>
      <c r="P49" s="159" t="s"/>
    </row>
    <row r="50" spans="1:16" s="182" customFormat="true">
      <c r="A50" s="72" t="s"/>
      <c r="B50" s="72" t="s"/>
      <c r="C50" s="72" t="s"/>
      <c r="D50" s="72" t="s"/>
      <c r="E50" s="72" t="s"/>
      <c r="F50" s="72" t="s"/>
      <c r="G50" s="72" t="s"/>
      <c r="H50" s="72" t="s"/>
      <c r="I50" s="72" t="s"/>
      <c r="J50" s="72" t="s"/>
      <c r="K50" s="157" t="s"/>
      <c r="L50" s="72" t="s"/>
      <c r="M50" s="72" t="s"/>
      <c r="N50" s="72" t="s"/>
      <c r="O50" s="72" t="s"/>
      <c r="P50" s="72" t="s"/>
    </row>
    <row r="51" spans="1:16" s="182" customFormat="true">
      <c r="A51" s="161" t="s">
        <v>341</v>
      </c>
      <c r="B51" s="161" t="s">
        <v>1</v>
      </c>
      <c r="C51" s="161" t="s">
        <v>342</v>
      </c>
      <c r="D51" s="161" t="s">
        <v>343</v>
      </c>
      <c r="E51" s="161" t="s">
        <v>344</v>
      </c>
      <c r="F51" s="161" t="s">
        <v>267</v>
      </c>
      <c r="G51" s="161" t="s">
        <v>13</v>
      </c>
      <c r="H51" s="161" t="s">
        <v>345</v>
      </c>
      <c r="I51" s="161" t="s">
        <v>241</v>
      </c>
      <c r="J51" s="162" t="s">
        <v>346</v>
      </c>
      <c r="K51" s="163" t="s"/>
      <c r="L51" s="164" t="s"/>
      <c r="M51" s="161" t="s">
        <v>268</v>
      </c>
      <c r="N51" s="162" t="s">
        <v>347</v>
      </c>
      <c r="O51" s="164" t="s"/>
      <c r="P51" s="72" t="s"/>
    </row>
    <row r="52" spans="1:15" s="184" customFormat="true" ht="27.75" customHeight="true">
      <c r="A52" s="165" t="s">
        <v>348</v>
      </c>
      <c r="B52" s="165" t="s">
        <v>180</v>
      </c>
      <c r="C52" s="165" t="s">
        <v>349</v>
      </c>
      <c r="D52" s="165" t="s">
        <v>350</v>
      </c>
      <c r="E52" s="165" t="s">
        <v>350</v>
      </c>
      <c r="F52" s="165" t="s">
        <v>351</v>
      </c>
      <c r="G52" s="166">
        <v>45777</v>
      </c>
      <c r="H52" s="165" t="s">
        <v>352</v>
      </c>
      <c r="I52" s="165" t="s">
        <v>353</v>
      </c>
      <c r="J52" s="165" t="s">
        <v>354</v>
      </c>
      <c r="K52" s="10" t="s"/>
      <c r="L52" s="10" t="s"/>
      <c r="M52" s="167" t="s">
        <v>355</v>
      </c>
      <c r="N52" s="168" t="s">
        <v>356</v>
      </c>
      <c r="O52" s="102" t="s"/>
    </row>
    <row r="53" spans="1:15" s="184" customFormat="true" ht="27.75" customHeight="true">
      <c r="A53" s="165" t="s">
        <v>348</v>
      </c>
      <c r="B53" s="165" t="s">
        <v>163</v>
      </c>
      <c r="C53" s="165" t="s">
        <v>349</v>
      </c>
      <c r="D53" s="165" t="s">
        <v>350</v>
      </c>
      <c r="E53" s="165" t="s">
        <v>350</v>
      </c>
      <c r="F53" s="165" t="s">
        <v>351</v>
      </c>
      <c r="G53" s="166">
        <v>45777</v>
      </c>
      <c r="H53" s="165" t="s">
        <v>352</v>
      </c>
      <c r="I53" s="165" t="s">
        <v>353</v>
      </c>
      <c r="J53" s="165" t="s">
        <v>354</v>
      </c>
      <c r="K53" s="10" t="s"/>
      <c r="L53" s="165" t="s"/>
      <c r="M53" s="167" t="s">
        <v>355</v>
      </c>
      <c r="N53" s="168" t="s">
        <v>356</v>
      </c>
      <c r="O53" s="102" t="s"/>
    </row>
    <row r="54" spans="1:15" s="184" customFormat="true" ht="27.75" customHeight="true">
      <c r="A54" s="165" t="s">
        <v>348</v>
      </c>
      <c r="B54" s="165" t="s">
        <v>17</v>
      </c>
      <c r="C54" s="165" t="s">
        <v>349</v>
      </c>
      <c r="D54" s="165" t="s">
        <v>350</v>
      </c>
      <c r="E54" s="165" t="s">
        <v>350</v>
      </c>
      <c r="F54" s="165" t="s">
        <v>357</v>
      </c>
      <c r="G54" s="166">
        <v>45777</v>
      </c>
      <c r="H54" s="165" t="s">
        <v>352</v>
      </c>
      <c r="I54" s="165" t="s">
        <v>353</v>
      </c>
      <c r="J54" s="165" t="s">
        <v>354</v>
      </c>
      <c r="K54" s="10" t="s"/>
      <c r="L54" s="165" t="s"/>
      <c r="M54" s="167" t="s">
        <v>355</v>
      </c>
      <c r="N54" s="168" t="s">
        <v>356</v>
      </c>
      <c r="O54" s="102" t="s"/>
    </row>
    <row r="55" spans="1:15" s="184" customFormat="true" ht="27.75" customHeight="true">
      <c r="A55" s="165" t="s">
        <v>348</v>
      </c>
      <c r="B55" s="165" t="s">
        <v>139</v>
      </c>
      <c r="C55" s="165" t="s">
        <v>349</v>
      </c>
      <c r="D55" s="165" t="s">
        <v>350</v>
      </c>
      <c r="E55" s="165" t="s">
        <v>350</v>
      </c>
      <c r="F55" s="165" t="s">
        <v>357</v>
      </c>
      <c r="G55" s="166">
        <v>45777</v>
      </c>
      <c r="H55" s="165" t="s">
        <v>352</v>
      </c>
      <c r="I55" s="165" t="s">
        <v>353</v>
      </c>
      <c r="J55" s="165" t="s">
        <v>354</v>
      </c>
      <c r="K55" s="10" t="s"/>
      <c r="L55" s="165" t="s"/>
      <c r="M55" s="167" t="s">
        <v>355</v>
      </c>
      <c r="N55" s="168" t="s">
        <v>356</v>
      </c>
      <c r="O55" s="102" t="s"/>
    </row>
    <row r="56" spans="1:15" s="184" customFormat="true" ht="27.75" customHeight="true">
      <c r="A56" s="165" t="s">
        <v>348</v>
      </c>
      <c r="B56" s="165" t="s">
        <v>180</v>
      </c>
      <c r="C56" s="165" t="s">
        <v>349</v>
      </c>
      <c r="D56" s="165" t="s">
        <v>350</v>
      </c>
      <c r="E56" s="165" t="s">
        <v>215</v>
      </c>
      <c r="F56" s="167" t="s">
        <v>358</v>
      </c>
      <c r="G56" s="166">
        <v>45777</v>
      </c>
      <c r="H56" s="165" t="s">
        <v>352</v>
      </c>
      <c r="I56" s="165" t="s">
        <v>359</v>
      </c>
      <c r="J56" s="165" t="s">
        <v>354</v>
      </c>
      <c r="K56" s="10" t="s"/>
      <c r="L56" s="165" t="s"/>
      <c r="M56" s="167" t="s">
        <v>355</v>
      </c>
      <c r="N56" s="168" t="s">
        <v>356</v>
      </c>
      <c r="O56" s="102" t="s"/>
    </row>
    <row r="57" spans="1:15" s="184" customFormat="true" ht="27.75" customHeight="true">
      <c r="A57" s="165" t="s">
        <v>348</v>
      </c>
      <c r="B57" s="165" t="s">
        <v>163</v>
      </c>
      <c r="C57" s="165" t="s">
        <v>349</v>
      </c>
      <c r="D57" s="165" t="s">
        <v>350</v>
      </c>
      <c r="E57" s="165" t="s">
        <v>215</v>
      </c>
      <c r="F57" s="167" t="s">
        <v>358</v>
      </c>
      <c r="G57" s="166">
        <v>45777</v>
      </c>
      <c r="H57" s="165" t="s">
        <v>352</v>
      </c>
      <c r="I57" s="165" t="s">
        <v>359</v>
      </c>
      <c r="J57" s="165" t="s">
        <v>354</v>
      </c>
      <c r="K57" s="10" t="s"/>
      <c r="L57" s="165" t="s"/>
      <c r="M57" s="167" t="s">
        <v>355</v>
      </c>
      <c r="N57" s="168" t="s">
        <v>356</v>
      </c>
      <c r="O57" s="102" t="s"/>
    </row>
    <row r="58" spans="1:15" s="184" customFormat="true" ht="27.75" customHeight="true">
      <c r="A58" s="165" t="s">
        <v>348</v>
      </c>
      <c r="B58" s="165" t="s">
        <v>17</v>
      </c>
      <c r="C58" s="165" t="s">
        <v>349</v>
      </c>
      <c r="D58" s="165" t="s">
        <v>350</v>
      </c>
      <c r="E58" s="165" t="s">
        <v>215</v>
      </c>
      <c r="F58" s="167" t="s">
        <v>360</v>
      </c>
      <c r="G58" s="166">
        <v>45777</v>
      </c>
      <c r="H58" s="165" t="s">
        <v>352</v>
      </c>
      <c r="I58" s="165" t="s">
        <v>359</v>
      </c>
      <c r="J58" s="165" t="s">
        <v>354</v>
      </c>
      <c r="K58" s="10" t="s"/>
      <c r="L58" s="165" t="s"/>
      <c r="M58" s="167" t="s">
        <v>355</v>
      </c>
      <c r="N58" s="168" t="s">
        <v>356</v>
      </c>
      <c r="O58" s="102" t="s"/>
    </row>
    <row r="59" spans="1:15" s="184" customFormat="true" ht="27.75" customHeight="true">
      <c r="A59" s="165" t="s">
        <v>348</v>
      </c>
      <c r="B59" s="165" t="s">
        <v>139</v>
      </c>
      <c r="C59" s="165" t="s">
        <v>349</v>
      </c>
      <c r="D59" s="165" t="s">
        <v>350</v>
      </c>
      <c r="E59" s="165" t="s">
        <v>215</v>
      </c>
      <c r="F59" s="167" t="s">
        <v>360</v>
      </c>
      <c r="G59" s="166">
        <v>45777</v>
      </c>
      <c r="H59" s="165" t="s">
        <v>352</v>
      </c>
      <c r="I59" s="165" t="s">
        <v>359</v>
      </c>
      <c r="J59" s="165" t="s">
        <v>354</v>
      </c>
      <c r="K59" s="10" t="s"/>
      <c r="L59" s="165" t="s"/>
      <c r="M59" s="167" t="s">
        <v>355</v>
      </c>
      <c r="N59" s="168" t="s">
        <v>356</v>
      </c>
      <c r="O59" s="102" t="s"/>
    </row>
  </sheetData>
  <mergeCells count="98">
    <mergeCell ref="A2:A6"/>
    <mergeCell ref="B2:B6"/>
    <mergeCell ref="C2:C6"/>
    <mergeCell ref="D2:D6"/>
    <mergeCell ref="E2:E6"/>
    <mergeCell ref="O2:O6"/>
    <mergeCell ref="P2:P6"/>
    <mergeCell ref="L2:L6"/>
    <mergeCell ref="F8:F9"/>
    <mergeCell ref="F10:F11"/>
    <mergeCell ref="H7:I7"/>
    <mergeCell ref="H8:I8"/>
    <mergeCell ref="H9:I9"/>
    <mergeCell ref="H10:I10"/>
    <mergeCell ref="H11:I11"/>
    <mergeCell ref="J7:K7"/>
    <mergeCell ref="J8:K8"/>
    <mergeCell ref="J9:K9"/>
    <mergeCell ref="J10:K10"/>
    <mergeCell ref="J11:K11"/>
    <mergeCell ref="F12:F13"/>
    <mergeCell ref="H12:I12"/>
    <mergeCell ref="H13:I13"/>
    <mergeCell ref="J12:K12"/>
    <mergeCell ref="J13:K13"/>
    <mergeCell ref="F14:F15"/>
    <mergeCell ref="H14:I14"/>
    <mergeCell ref="H15:I15"/>
    <mergeCell ref="J14:K14"/>
    <mergeCell ref="J15:K15"/>
    <mergeCell ref="F16:F17"/>
    <mergeCell ref="H16:I16"/>
    <mergeCell ref="H17:I17"/>
    <mergeCell ref="J16:K16"/>
    <mergeCell ref="J17:K17"/>
    <mergeCell ref="O8:O17"/>
    <mergeCell ref="P8:P17"/>
    <mergeCell ref="A18:P18"/>
    <mergeCell ref="A20:A21"/>
    <mergeCell ref="B20:B21"/>
    <mergeCell ref="C20:C21"/>
    <mergeCell ref="D20:D21"/>
    <mergeCell ref="E20:E21"/>
    <mergeCell ref="F20:F21"/>
    <mergeCell ref="N20:N21"/>
    <mergeCell ref="O20:O21"/>
    <mergeCell ref="B22:B25"/>
    <mergeCell ref="A22:A25"/>
    <mergeCell ref="P20:P21"/>
    <mergeCell ref="B26:B29"/>
    <mergeCell ref="O22:O29"/>
    <mergeCell ref="P22:P29"/>
    <mergeCell ref="A26:A29"/>
    <mergeCell ref="A30:A31"/>
    <mergeCell ref="B30:B31"/>
    <mergeCell ref="C30:C31"/>
    <mergeCell ref="D30:D31"/>
    <mergeCell ref="E30:E31"/>
    <mergeCell ref="F30:F31"/>
    <mergeCell ref="A32:A35"/>
    <mergeCell ref="L30:N31"/>
    <mergeCell ref="L32:N35"/>
    <mergeCell ref="K30:K31"/>
    <mergeCell ref="O30:P31"/>
    <mergeCell ref="O32:P35"/>
    <mergeCell ref="A36:A37"/>
    <mergeCell ref="B36:B37"/>
    <mergeCell ref="C36:C37"/>
    <mergeCell ref="D36:D37"/>
    <mergeCell ref="E36:E37"/>
    <mergeCell ref="F36:F37"/>
    <mergeCell ref="A38:A41"/>
    <mergeCell ref="B38:B41"/>
    <mergeCell ref="A42:A45"/>
    <mergeCell ref="B42:B45"/>
    <mergeCell ref="M36:M37"/>
    <mergeCell ref="N36:O37"/>
    <mergeCell ref="N38:O45"/>
    <mergeCell ref="P36:P37"/>
    <mergeCell ref="P38:Q45"/>
    <mergeCell ref="J52:L52"/>
    <mergeCell ref="J53:L53"/>
    <mergeCell ref="J54:L54"/>
    <mergeCell ref="J55:L55"/>
    <mergeCell ref="J56:L56"/>
    <mergeCell ref="J57:L57"/>
    <mergeCell ref="J58:L58"/>
    <mergeCell ref="J59:L59"/>
    <mergeCell ref="J51:L51"/>
    <mergeCell ref="N51:O51"/>
    <mergeCell ref="N52:O52"/>
    <mergeCell ref="N53:O53"/>
    <mergeCell ref="N54:O54"/>
    <mergeCell ref="N55:O55"/>
    <mergeCell ref="N56:O56"/>
    <mergeCell ref="N57:O57"/>
    <mergeCell ref="N58:O58"/>
    <mergeCell ref="N59:O59"/>
  </mergeCells>
</worksheet>
</file>

<file path=xl/worksheets/sheet10.xml><?xml version="1.0" encoding="utf-8"?>
<worksheet xmlns="http://schemas.openxmlformats.org/spreadsheetml/2006/main">
  <sheetPr codeName="RAIL">
    <tabColor/>
  </sheetPr>
  <dimension ref="O27"/>
  <sheetViews>
    <sheetView showGridLines="true" workbookViewId="0"/>
  </sheetViews>
  <sheetFormatPr baseColWidth="13" defaultRowHeight="18" customHeight="true"/>
  <cols>
    <col min="1" max="1" width="21.7109" customWidth="true"/>
    <col min="2" max="2" width="15.5117" customWidth="true"/>
    <col min="3" max="3" width="22.9336" customWidth="true"/>
    <col min="4" max="4" width="16.4531" customWidth="true"/>
    <col min="5" max="6" width="12.1406" customWidth="true"/>
    <col min="7" max="12" width="10.2539" customWidth="true"/>
    <col min="13" max="13" width="16.8633" customWidth="true"/>
    <col min="15" max="15" width="40.4609" customWidth="true"/>
  </cols>
  <sheetData>
    <row r="1" spans="1:15">
      <c r="A1" s="4" t="s">
        <v>209</v>
      </c>
      <c r="B1" s="169" t="s">
        <v>361</v>
      </c>
      <c r="C1" s="170" t="s">
        <v>362</v>
      </c>
      <c r="D1" s="4" t="s">
        <v>4</v>
      </c>
      <c r="E1" s="4" t="s">
        <v>7</v>
      </c>
      <c r="F1" s="10" t="s"/>
      <c r="G1" s="4" t="s">
        <v>363</v>
      </c>
      <c r="H1" s="10" t="s"/>
      <c r="I1" s="4" t="s">
        <v>9</v>
      </c>
      <c r="J1" s="10" t="s"/>
      <c r="K1" s="4" t="s">
        <v>10</v>
      </c>
      <c r="L1" s="10" t="s"/>
      <c r="M1" s="4" t="s">
        <v>12</v>
      </c>
      <c r="N1" s="4" t="s">
        <v>13</v>
      </c>
      <c r="O1" s="4" t="s">
        <v>14</v>
      </c>
    </row>
    <row r="2" spans="1:15">
      <c r="A2" s="10" t="s"/>
      <c r="B2" s="10" t="s"/>
      <c r="C2" s="10" t="s"/>
      <c r="D2" s="10" t="s"/>
      <c r="E2" s="4" t="s">
        <v>15</v>
      </c>
      <c r="F2" s="4" t="s">
        <v>16</v>
      </c>
      <c r="G2" s="4" t="s">
        <v>15</v>
      </c>
      <c r="H2" s="4" t="s">
        <v>16</v>
      </c>
      <c r="I2" s="4" t="s">
        <v>15</v>
      </c>
      <c r="J2" s="4" t="s">
        <v>16</v>
      </c>
      <c r="K2" s="4" t="s">
        <v>15</v>
      </c>
      <c r="L2" s="4" t="s">
        <v>16</v>
      </c>
      <c r="M2" s="10" t="s"/>
      <c r="N2" s="10" t="s"/>
      <c r="O2" s="10" t="s"/>
    </row>
    <row r="3" spans="1:15">
      <c r="A3" s="171" t="s">
        <v>163</v>
      </c>
      <c r="B3" s="171" t="s">
        <v>364</v>
      </c>
      <c r="C3" s="171" t="s">
        <v>163</v>
      </c>
      <c r="D3" s="171" t="s">
        <v>223</v>
      </c>
      <c r="E3" s="172" t="s"/>
      <c r="F3" s="172">
        <v>5250</v>
      </c>
      <c r="G3" s="172" t="s"/>
      <c r="H3" s="173">
        <v>5900</v>
      </c>
      <c r="I3" s="172" t="s"/>
      <c r="J3" s="174">
        <v>5650</v>
      </c>
      <c r="K3" s="172" t="s"/>
      <c r="L3" s="172">
        <v>5650</v>
      </c>
      <c r="M3" s="175" t="s">
        <v>365</v>
      </c>
      <c r="N3" s="176">
        <v>45818</v>
      </c>
      <c r="O3" s="172" t="s">
        <v>366</v>
      </c>
    </row>
    <row r="4" spans="1:15">
      <c r="A4" s="171" t="s">
        <v>189</v>
      </c>
      <c r="B4" s="171" t="s">
        <v>364</v>
      </c>
      <c r="C4" s="171" t="s">
        <v>189</v>
      </c>
      <c r="D4" s="171" t="s">
        <v>223</v>
      </c>
      <c r="E4" s="172" t="s"/>
      <c r="F4" s="172">
        <v>4750</v>
      </c>
      <c r="G4" s="172" t="s"/>
      <c r="H4" s="173">
        <v>5400</v>
      </c>
      <c r="I4" s="172" t="s"/>
      <c r="J4" s="174">
        <v>5150</v>
      </c>
      <c r="K4" s="172" t="s"/>
      <c r="L4" s="172">
        <v>5150</v>
      </c>
      <c r="M4" s="175" t="s">
        <v>365</v>
      </c>
      <c r="N4" s="176">
        <v>45818</v>
      </c>
      <c r="O4" s="172" t="s">
        <v>366</v>
      </c>
    </row>
    <row r="5" spans="1:15">
      <c r="A5" s="171" t="s">
        <v>270</v>
      </c>
      <c r="B5" s="171" t="s">
        <v>364</v>
      </c>
      <c r="C5" s="171" t="s">
        <v>270</v>
      </c>
      <c r="D5" s="171" t="s">
        <v>223</v>
      </c>
      <c r="E5" s="172" t="s"/>
      <c r="F5" s="172">
        <v>4950</v>
      </c>
      <c r="G5" s="172" t="s"/>
      <c r="H5" s="173">
        <v>5600</v>
      </c>
      <c r="I5" s="172" t="s"/>
      <c r="J5" s="174">
        <v>5350</v>
      </c>
      <c r="K5" s="172" t="s"/>
      <c r="L5" s="172">
        <v>5350</v>
      </c>
      <c r="M5" s="175" t="s">
        <v>365</v>
      </c>
      <c r="N5" s="176">
        <v>45818</v>
      </c>
      <c r="O5" s="172" t="s">
        <v>366</v>
      </c>
    </row>
    <row r="6" spans="1:15">
      <c r="A6" s="171" t="s">
        <v>163</v>
      </c>
      <c r="B6" s="171" t="s">
        <v>270</v>
      </c>
      <c r="C6" s="171" t="s">
        <v>163</v>
      </c>
      <c r="D6" s="171" t="s">
        <v>223</v>
      </c>
      <c r="E6" s="172" t="s"/>
      <c r="F6" s="172">
        <v>5050</v>
      </c>
      <c r="G6" s="172" t="s"/>
      <c r="H6" s="173">
        <v>5600</v>
      </c>
      <c r="I6" s="172" t="s"/>
      <c r="J6" s="174">
        <v>5500</v>
      </c>
      <c r="K6" s="172" t="s"/>
      <c r="L6" s="172">
        <v>5450</v>
      </c>
      <c r="M6" s="175" t="s">
        <v>365</v>
      </c>
      <c r="N6" s="176">
        <v>45818</v>
      </c>
      <c r="O6" s="172" t="s">
        <v>366</v>
      </c>
    </row>
    <row r="7" spans="1:15">
      <c r="A7" s="171" t="s">
        <v>189</v>
      </c>
      <c r="B7" s="171" t="s">
        <v>270</v>
      </c>
      <c r="C7" s="171" t="s">
        <v>189</v>
      </c>
      <c r="D7" s="171" t="s">
        <v>223</v>
      </c>
      <c r="E7" s="172" t="s"/>
      <c r="F7" s="172">
        <v>4800</v>
      </c>
      <c r="G7" s="172" t="s"/>
      <c r="H7" s="173">
        <v>5400</v>
      </c>
      <c r="I7" s="172" t="s"/>
      <c r="J7" s="174">
        <v>5250</v>
      </c>
      <c r="K7" s="172" t="s"/>
      <c r="L7" s="172">
        <v>4950</v>
      </c>
      <c r="M7" s="175" t="s">
        <v>365</v>
      </c>
      <c r="N7" s="176">
        <v>45818</v>
      </c>
      <c r="O7" s="172" t="s">
        <v>366</v>
      </c>
    </row>
    <row r="8" spans="1:15">
      <c r="A8" s="171" t="s">
        <v>270</v>
      </c>
      <c r="B8" s="171" t="s">
        <v>270</v>
      </c>
      <c r="C8" s="171" t="s">
        <v>270</v>
      </c>
      <c r="D8" s="171" t="s">
        <v>223</v>
      </c>
      <c r="E8" s="172" t="s"/>
      <c r="F8" s="172">
        <v>5050</v>
      </c>
      <c r="G8" s="172" t="s"/>
      <c r="H8" s="173">
        <v>5600</v>
      </c>
      <c r="I8" s="172" t="s"/>
      <c r="J8" s="174">
        <v>5500</v>
      </c>
      <c r="K8" s="172" t="s"/>
      <c r="L8" s="172">
        <v>5200</v>
      </c>
      <c r="M8" s="175" t="s">
        <v>365</v>
      </c>
      <c r="N8" s="176">
        <v>45818</v>
      </c>
      <c r="O8" s="172" t="s">
        <v>366</v>
      </c>
    </row>
    <row r="9" spans="1:15">
      <c r="A9" s="171" t="s">
        <v>163</v>
      </c>
      <c r="B9" s="171" t="s">
        <v>364</v>
      </c>
      <c r="C9" s="171" t="s">
        <v>163</v>
      </c>
      <c r="D9" s="171" t="s">
        <v>220</v>
      </c>
      <c r="E9" s="172" t="s"/>
      <c r="F9" s="172">
        <v>4700</v>
      </c>
      <c r="G9" s="172" t="s"/>
      <c r="H9" s="173" t="s"/>
      <c r="I9" s="172" t="s"/>
      <c r="J9" s="177" t="s"/>
      <c r="K9" s="172" t="s"/>
      <c r="L9" s="172" t="s"/>
      <c r="M9" s="175" t="s">
        <v>365</v>
      </c>
      <c r="N9" s="176">
        <v>45818</v>
      </c>
      <c r="O9" s="172" t="s">
        <v>366</v>
      </c>
    </row>
    <row r="10" spans="1:15">
      <c r="A10" s="171" t="s">
        <v>189</v>
      </c>
      <c r="B10" s="171" t="s">
        <v>364</v>
      </c>
      <c r="C10" s="171" t="s">
        <v>189</v>
      </c>
      <c r="D10" s="171" t="s">
        <v>220</v>
      </c>
      <c r="E10" s="172" t="s"/>
      <c r="F10" s="172">
        <v>4600</v>
      </c>
      <c r="G10" s="172" t="s"/>
      <c r="H10" s="173" t="s"/>
      <c r="I10" s="172" t="s"/>
      <c r="J10" s="172" t="s"/>
      <c r="K10" s="172" t="s"/>
      <c r="L10" s="172" t="s"/>
      <c r="M10" s="175" t="s">
        <v>365</v>
      </c>
      <c r="N10" s="176">
        <v>45818</v>
      </c>
      <c r="O10" s="172" t="s">
        <v>366</v>
      </c>
    </row>
    <row r="11" spans="1:15">
      <c r="A11" s="171" t="s">
        <v>270</v>
      </c>
      <c r="B11" s="171" t="s">
        <v>364</v>
      </c>
      <c r="C11" s="171" t="s">
        <v>270</v>
      </c>
      <c r="D11" s="171" t="s">
        <v>220</v>
      </c>
      <c r="E11" s="172" t="s"/>
      <c r="F11" s="172">
        <v>4750</v>
      </c>
      <c r="G11" s="172" t="s"/>
      <c r="H11" s="173" t="s"/>
      <c r="I11" s="172" t="s"/>
      <c r="J11" s="172" t="s"/>
      <c r="K11" s="172" t="s"/>
      <c r="L11" s="172" t="s"/>
      <c r="M11" s="175" t="s">
        <v>365</v>
      </c>
      <c r="N11" s="176">
        <v>45818</v>
      </c>
      <c r="O11" s="172" t="s">
        <v>366</v>
      </c>
    </row>
    <row r="12" spans="1:15">
      <c r="A12" s="171" t="s">
        <v>163</v>
      </c>
      <c r="B12" s="171" t="s">
        <v>270</v>
      </c>
      <c r="C12" s="171" t="s">
        <v>163</v>
      </c>
      <c r="D12" s="171" t="s">
        <v>220</v>
      </c>
      <c r="E12" s="172" t="s"/>
      <c r="F12" s="172">
        <v>4700</v>
      </c>
      <c r="G12" s="172" t="s"/>
      <c r="H12" s="173" t="s"/>
      <c r="I12" s="172" t="s"/>
      <c r="J12" s="172" t="s"/>
      <c r="K12" s="172" t="s"/>
      <c r="L12" s="172" t="s"/>
      <c r="M12" s="175" t="s">
        <v>365</v>
      </c>
      <c r="N12" s="176">
        <v>45818</v>
      </c>
      <c r="O12" s="172" t="s">
        <v>366</v>
      </c>
    </row>
    <row r="13" spans="1:15">
      <c r="A13" s="171" t="s">
        <v>189</v>
      </c>
      <c r="B13" s="171" t="s">
        <v>270</v>
      </c>
      <c r="C13" s="171" t="s">
        <v>189</v>
      </c>
      <c r="D13" s="171" t="s">
        <v>220</v>
      </c>
      <c r="E13" s="172" t="s"/>
      <c r="F13" s="172">
        <v>4600</v>
      </c>
      <c r="G13" s="172" t="s"/>
      <c r="H13" s="173" t="s"/>
      <c r="I13" s="172" t="s"/>
      <c r="J13" s="172" t="s"/>
      <c r="K13" s="172" t="s"/>
      <c r="L13" s="172" t="s"/>
      <c r="M13" s="175" t="s">
        <v>365</v>
      </c>
      <c r="N13" s="176">
        <v>45818</v>
      </c>
      <c r="O13" s="172" t="s">
        <v>366</v>
      </c>
    </row>
    <row r="14" spans="1:15">
      <c r="A14" s="171" t="s">
        <v>270</v>
      </c>
      <c r="B14" s="171" t="s">
        <v>270</v>
      </c>
      <c r="C14" s="171" t="s">
        <v>270</v>
      </c>
      <c r="D14" s="171" t="s">
        <v>220</v>
      </c>
      <c r="E14" s="172" t="s"/>
      <c r="F14" s="172">
        <v>4750</v>
      </c>
      <c r="G14" s="172" t="s"/>
      <c r="H14" s="173" t="s"/>
      <c r="I14" s="172" t="s"/>
      <c r="J14" s="172" t="s"/>
      <c r="K14" s="172" t="s"/>
      <c r="L14" s="172" t="s"/>
      <c r="M14" s="175" t="s">
        <v>365</v>
      </c>
      <c r="N14" s="176">
        <v>45818</v>
      </c>
      <c r="O14" s="172" t="s">
        <v>366</v>
      </c>
    </row>
    <row r="15" spans="1:15">
      <c r="A15" s="171" t="s">
        <v>180</v>
      </c>
      <c r="B15" s="171" t="s">
        <v>96</v>
      </c>
      <c r="C15" s="171" t="s">
        <v>180</v>
      </c>
      <c r="D15" s="171" t="s">
        <v>223</v>
      </c>
      <c r="E15" s="172" t="s"/>
      <c r="F15" s="172">
        <v>4850</v>
      </c>
      <c r="G15" s="172" t="s"/>
      <c r="H15" s="173" t="s"/>
      <c r="I15" s="172" t="s"/>
      <c r="J15" s="172" t="s"/>
      <c r="K15" s="172" t="s"/>
      <c r="L15" s="172" t="s"/>
      <c r="M15" s="175" t="s">
        <v>367</v>
      </c>
      <c r="N15" s="176">
        <v>45818</v>
      </c>
      <c r="O15" s="172" t="s">
        <v>368</v>
      </c>
    </row>
    <row r="16" spans="1:15">
      <c r="A16" s="171" t="s">
        <v>163</v>
      </c>
      <c r="B16" s="171" t="s">
        <v>96</v>
      </c>
      <c r="C16" s="171" t="s">
        <v>163</v>
      </c>
      <c r="D16" s="171" t="s">
        <v>223</v>
      </c>
      <c r="E16" s="172" t="s"/>
      <c r="F16" s="172">
        <v>4850</v>
      </c>
      <c r="G16" s="172" t="s"/>
      <c r="H16" s="172" t="s"/>
      <c r="I16" s="172" t="s"/>
      <c r="J16" s="174" t="s"/>
      <c r="K16" s="172" t="s"/>
      <c r="L16" s="172" t="s"/>
      <c r="M16" s="175" t="s">
        <v>367</v>
      </c>
      <c r="N16" s="176">
        <v>45818</v>
      </c>
      <c r="O16" s="172" t="s">
        <v>368</v>
      </c>
    </row>
    <row r="17" spans="1:15">
      <c r="A17" s="171" t="s">
        <v>25</v>
      </c>
      <c r="B17" s="171" t="s">
        <v>96</v>
      </c>
      <c r="C17" s="171" t="s">
        <v>25</v>
      </c>
      <c r="D17" s="171" t="s">
        <v>223</v>
      </c>
      <c r="E17" s="172" t="s"/>
      <c r="F17" s="172">
        <v>4850</v>
      </c>
      <c r="G17" s="172" t="s"/>
      <c r="H17" s="172" t="s"/>
      <c r="I17" s="172" t="s"/>
      <c r="J17" s="174" t="s"/>
      <c r="K17" s="172" t="s"/>
      <c r="L17" s="172" t="s"/>
      <c r="M17" s="175" t="s">
        <v>367</v>
      </c>
      <c r="N17" s="176">
        <v>45818</v>
      </c>
      <c r="O17" s="172" t="s">
        <v>368</v>
      </c>
    </row>
    <row r="18" spans="1:15">
      <c r="A18" s="171" t="s">
        <v>218</v>
      </c>
      <c r="B18" s="171" t="s">
        <v>96</v>
      </c>
      <c r="C18" s="171" t="s">
        <v>218</v>
      </c>
      <c r="D18" s="171" t="s">
        <v>223</v>
      </c>
      <c r="E18" s="172" t="s"/>
      <c r="F18" s="172">
        <v>5150</v>
      </c>
      <c r="G18" s="172" t="s"/>
      <c r="H18" s="172" t="s"/>
      <c r="I18" s="172" t="s"/>
      <c r="J18" s="174" t="s"/>
      <c r="K18" s="172" t="s"/>
      <c r="L18" s="172" t="s"/>
      <c r="M18" s="175" t="s">
        <v>367</v>
      </c>
      <c r="N18" s="176">
        <v>45818</v>
      </c>
      <c r="O18" s="172" t="s">
        <v>368</v>
      </c>
    </row>
    <row r="19" spans="1:15">
      <c r="A19" s="171" t="s">
        <v>219</v>
      </c>
      <c r="B19" s="171" t="s">
        <v>96</v>
      </c>
      <c r="C19" s="171" t="s">
        <v>219</v>
      </c>
      <c r="D19" s="171" t="s">
        <v>223</v>
      </c>
      <c r="E19" s="172" t="s"/>
      <c r="F19" s="172">
        <v>5100</v>
      </c>
      <c r="G19" s="172" t="s"/>
      <c r="H19" s="172" t="s"/>
      <c r="I19" s="172" t="s"/>
      <c r="J19" s="174" t="s"/>
      <c r="K19" s="172" t="s"/>
      <c r="L19" s="172" t="s"/>
      <c r="M19" s="175" t="s">
        <v>367</v>
      </c>
      <c r="N19" s="176">
        <v>45818</v>
      </c>
      <c r="O19" s="172" t="s">
        <v>368</v>
      </c>
    </row>
    <row r="20" spans="1:15">
      <c r="A20" s="171" t="s">
        <v>227</v>
      </c>
      <c r="B20" s="171" t="s">
        <v>96</v>
      </c>
      <c r="C20" s="171" t="s">
        <v>227</v>
      </c>
      <c r="D20" s="171" t="s">
        <v>223</v>
      </c>
      <c r="E20" s="172" t="s"/>
      <c r="F20" s="172">
        <v>5100</v>
      </c>
      <c r="G20" s="172" t="s"/>
      <c r="H20" s="172" t="s"/>
      <c r="I20" s="172" t="s"/>
      <c r="J20" s="174" t="s"/>
      <c r="K20" s="172" t="s"/>
      <c r="L20" s="172" t="s"/>
      <c r="M20" s="175" t="s">
        <v>367</v>
      </c>
      <c r="N20" s="176">
        <v>45818</v>
      </c>
      <c r="O20" s="172" t="s">
        <v>368</v>
      </c>
    </row>
    <row r="21" spans="1:15">
      <c r="A21" s="171" t="s">
        <v>102</v>
      </c>
      <c r="B21" s="171" t="s">
        <v>96</v>
      </c>
      <c r="C21" s="171" t="s">
        <v>102</v>
      </c>
      <c r="D21" s="171" t="s">
        <v>223</v>
      </c>
      <c r="E21" s="172" t="s"/>
      <c r="F21" s="172">
        <v>5150</v>
      </c>
      <c r="G21" s="172" t="s"/>
      <c r="H21" s="172" t="s"/>
      <c r="I21" s="172" t="s"/>
      <c r="J21" s="174" t="s"/>
      <c r="K21" s="172" t="s"/>
      <c r="L21" s="172" t="s"/>
      <c r="M21" s="175" t="s">
        <v>367</v>
      </c>
      <c r="N21" s="176">
        <v>45818</v>
      </c>
      <c r="O21" s="172" t="s">
        <v>368</v>
      </c>
    </row>
    <row r="22" spans="1:15">
      <c r="A22" s="171" t="s">
        <v>96</v>
      </c>
      <c r="B22" s="171" t="s">
        <v>96</v>
      </c>
      <c r="C22" s="171" t="s">
        <v>96</v>
      </c>
      <c r="D22" s="171" t="s">
        <v>223</v>
      </c>
      <c r="E22" s="172" t="s"/>
      <c r="F22" s="172">
        <v>4450</v>
      </c>
      <c r="G22" s="172" t="s"/>
      <c r="H22" s="172" t="s"/>
      <c r="I22" s="172" t="s"/>
      <c r="J22" s="174" t="s"/>
      <c r="K22" s="172" t="s"/>
      <c r="L22" s="172" t="s"/>
      <c r="M22" s="175" t="s">
        <v>367</v>
      </c>
      <c r="N22" s="176">
        <v>45818</v>
      </c>
      <c r="O22" s="172" t="s">
        <v>368</v>
      </c>
    </row>
    <row r="23" spans="1:15">
      <c r="A23" s="48" t="s"/>
      <c r="B23" s="48" t="s"/>
      <c r="C23" s="48" t="s"/>
      <c r="D23" s="48" t="s"/>
      <c r="E23" s="48" t="s"/>
      <c r="F23" s="48" t="s"/>
      <c r="G23" s="48" t="s"/>
      <c r="H23" s="48" t="s"/>
      <c r="I23" s="48" t="s"/>
      <c r="J23" s="48" t="s"/>
      <c r="K23" s="48" t="s"/>
      <c r="L23" s="48" t="s"/>
      <c r="M23" s="48" t="s"/>
      <c r="N23" s="48" t="s"/>
      <c r="O23" s="48" t="s"/>
    </row>
    <row r="24" spans="1:15">
      <c r="A24" s="10" t="s"/>
      <c r="B24" s="10" t="s"/>
      <c r="C24" s="10" t="s"/>
      <c r="D24" s="10" t="s"/>
      <c r="E24" s="10" t="s"/>
      <c r="F24" s="10" t="s"/>
      <c r="G24" s="10" t="s"/>
      <c r="H24" s="10" t="s"/>
      <c r="I24" s="10" t="s"/>
      <c r="J24" s="10" t="s"/>
      <c r="K24" s="10" t="s"/>
      <c r="L24" s="10" t="s"/>
      <c r="M24" s="10" t="s"/>
      <c r="N24" s="10" t="s"/>
      <c r="O24" s="10" t="s"/>
    </row>
    <row r="25" spans="1:15">
      <c r="A25" s="10" t="s"/>
      <c r="B25" s="10" t="s"/>
      <c r="C25" s="10" t="s"/>
      <c r="D25" s="10" t="s"/>
      <c r="E25" s="10" t="s"/>
      <c r="F25" s="10" t="s"/>
      <c r="G25" s="10" t="s"/>
      <c r="H25" s="10" t="s"/>
      <c r="I25" s="10" t="s"/>
      <c r="J25" s="10" t="s"/>
      <c r="K25" s="10" t="s"/>
      <c r="L25" s="10" t="s"/>
      <c r="M25" s="10" t="s"/>
      <c r="N25" s="10" t="s"/>
      <c r="O25" s="10" t="s"/>
    </row>
    <row r="26" spans="1:15">
      <c r="A26" s="10" t="s"/>
      <c r="B26" s="10" t="s"/>
      <c r="C26" s="10" t="s"/>
      <c r="D26" s="10" t="s"/>
      <c r="E26" s="10" t="s"/>
      <c r="F26" s="10" t="s"/>
      <c r="G26" s="10" t="s"/>
      <c r="H26" s="10" t="s"/>
      <c r="I26" s="10" t="s"/>
      <c r="J26" s="10" t="s"/>
      <c r="K26" s="10" t="s"/>
      <c r="L26" s="10" t="s"/>
      <c r="M26" s="10" t="s"/>
      <c r="N26" s="10" t="s"/>
      <c r="O26" s="10" t="s"/>
    </row>
    <row r="27" spans="1:15">
      <c r="A27" s="10" t="s"/>
      <c r="B27" s="10" t="s"/>
      <c r="C27" s="10" t="s"/>
      <c r="D27" s="10" t="s"/>
      <c r="E27" s="10" t="s"/>
      <c r="F27" s="10" t="s"/>
      <c r="G27" s="10" t="s"/>
      <c r="H27" s="10" t="s"/>
      <c r="I27" s="10" t="s"/>
      <c r="J27" s="10" t="s"/>
      <c r="K27" s="10" t="s"/>
      <c r="L27" s="10" t="s"/>
      <c r="M27" s="10" t="s"/>
      <c r="N27" s="10" t="s"/>
      <c r="O27" s="10" t="s"/>
    </row>
  </sheetData>
  <mergeCells count="11">
    <mergeCell ref="A1:A2"/>
    <mergeCell ref="B1:B2"/>
    <mergeCell ref="D1:D2"/>
    <mergeCell ref="E1:F1"/>
    <mergeCell ref="G1:H1"/>
    <mergeCell ref="I1:J1"/>
    <mergeCell ref="K1:L1"/>
    <mergeCell ref="M1:M2"/>
    <mergeCell ref="N1:N2"/>
    <mergeCell ref="O1:O2"/>
    <mergeCell ref="C1:C2"/>
  </mergeCells>
</worksheet>
</file>

<file path=xl/worksheets/sheet11.xml><?xml version="1.0" encoding="utf-8"?>
<worksheet xmlns="http://schemas.openxmlformats.org/spreadsheetml/2006/main">
  <sheetPr codeName="FTL">
    <tabColor/>
  </sheetPr>
  <dimension ref="H30"/>
  <sheetViews>
    <sheetView showGridLines="true" workbookViewId="0"/>
  </sheetViews>
  <sheetFormatPr baseColWidth="13" defaultRowHeight="18" customHeight="true"/>
  <cols>
    <col min="7" max="7" width="17.9414" customWidth="true"/>
    <col min="8" max="8" width="82.2812" customWidth="true"/>
    <col min="9" max="9" width="24.0117" customWidth="true"/>
  </cols>
  <sheetData>
    <row r="1" spans="1:8">
      <c r="A1" s="56" t="s">
        <v>209</v>
      </c>
      <c r="B1" s="56" t="s">
        <v>4</v>
      </c>
      <c r="C1" s="57" t="s">
        <v>210</v>
      </c>
      <c r="D1" s="58" t="s">
        <v>211</v>
      </c>
      <c r="E1" s="56" t="s">
        <v>212</v>
      </c>
      <c r="F1" s="56" t="s">
        <v>13</v>
      </c>
      <c r="G1" s="56" t="s">
        <v>14</v>
      </c>
      <c r="H1" s="59" t="s">
        <v>213</v>
      </c>
    </row>
    <row r="2" spans="1:8" ht="15.75" customHeight="true">
      <c r="A2" s="60" t="s">
        <v>102</v>
      </c>
      <c r="B2" s="60" t="s">
        <v>214</v>
      </c>
      <c r="C2" s="61" t="s">
        <v>215</v>
      </c>
      <c r="D2" s="61" t="s">
        <v>106</v>
      </c>
      <c r="E2" s="61" t="s">
        <v>216</v>
      </c>
      <c r="F2" s="60" t="s">
        <v>62</v>
      </c>
      <c r="G2" s="60" t="s">
        <v>217</v>
      </c>
      <c r="H2" s="62" t="s">
        <v>378</v>
      </c>
    </row>
    <row r="3" spans="1:8" ht="15.75" customHeight="true">
      <c r="A3" s="60" t="s">
        <v>25</v>
      </c>
      <c r="B3" s="60" t="s">
        <v>214</v>
      </c>
      <c r="C3" s="61" t="s">
        <v>215</v>
      </c>
      <c r="D3" s="61" t="s">
        <v>106</v>
      </c>
      <c r="E3" s="61" t="s">
        <v>216</v>
      </c>
      <c r="F3" s="60" t="s">
        <v>62</v>
      </c>
      <c r="G3" s="60" t="s">
        <v>217</v>
      </c>
      <c r="H3" s="63" t="s"/>
    </row>
    <row r="4" spans="1:8" ht="15.75" customHeight="true">
      <c r="A4" s="60" t="s">
        <v>180</v>
      </c>
      <c r="B4" s="60" t="s">
        <v>214</v>
      </c>
      <c r="C4" s="61" t="s">
        <v>215</v>
      </c>
      <c r="D4" s="61" t="s">
        <v>106</v>
      </c>
      <c r="E4" s="61" t="s">
        <v>216</v>
      </c>
      <c r="F4" s="60" t="s">
        <v>62</v>
      </c>
      <c r="G4" s="60" t="s">
        <v>217</v>
      </c>
      <c r="H4" s="63" t="s"/>
    </row>
    <row r="5" spans="1:8" ht="15.75" customHeight="true">
      <c r="A5" s="60" t="s">
        <v>163</v>
      </c>
      <c r="B5" s="60" t="s">
        <v>214</v>
      </c>
      <c r="C5" s="61" t="s">
        <v>215</v>
      </c>
      <c r="D5" s="61" t="s">
        <v>106</v>
      </c>
      <c r="E5" s="61" t="s">
        <v>216</v>
      </c>
      <c r="F5" s="60" t="s">
        <v>62</v>
      </c>
      <c r="G5" s="60" t="s">
        <v>217</v>
      </c>
      <c r="H5" s="63" t="s"/>
    </row>
    <row r="6" spans="1:8" ht="15.75" customHeight="true">
      <c r="A6" s="60" t="s">
        <v>218</v>
      </c>
      <c r="B6" s="60" t="s">
        <v>214</v>
      </c>
      <c r="C6" s="61" t="s">
        <v>215</v>
      </c>
      <c r="D6" s="61" t="s">
        <v>106</v>
      </c>
      <c r="E6" s="61" t="s">
        <v>216</v>
      </c>
      <c r="F6" s="60" t="s">
        <v>62</v>
      </c>
      <c r="G6" s="60" t="s">
        <v>217</v>
      </c>
      <c r="H6" s="63" t="s"/>
    </row>
    <row r="7" spans="1:8" ht="15.75" customHeight="true">
      <c r="A7" s="60" t="s">
        <v>219</v>
      </c>
      <c r="B7" s="60" t="s">
        <v>214</v>
      </c>
      <c r="C7" s="61" t="s">
        <v>215</v>
      </c>
      <c r="D7" s="61" t="s">
        <v>106</v>
      </c>
      <c r="E7" s="61" t="s">
        <v>216</v>
      </c>
      <c r="F7" s="60" t="s">
        <v>62</v>
      </c>
      <c r="G7" s="60" t="s">
        <v>217</v>
      </c>
      <c r="H7" s="63" t="s"/>
    </row>
    <row r="8" spans="1:8" ht="15.75" customHeight="true">
      <c r="A8" s="64" t="s">
        <v>102</v>
      </c>
      <c r="B8" s="64" t="s">
        <v>220</v>
      </c>
      <c r="C8" s="65" t="s">
        <v>215</v>
      </c>
      <c r="D8" s="65">
        <v>66000</v>
      </c>
      <c r="E8" s="65" t="s">
        <v>221</v>
      </c>
      <c r="F8" s="64" t="s">
        <v>222</v>
      </c>
      <c r="G8" s="64" t="s">
        <v>217</v>
      </c>
      <c r="H8" s="63" t="s"/>
    </row>
    <row r="9" spans="1:8" ht="15.75" customHeight="true">
      <c r="A9" s="64" t="s">
        <v>25</v>
      </c>
      <c r="B9" s="64" t="s">
        <v>220</v>
      </c>
      <c r="C9" s="65" t="s">
        <v>215</v>
      </c>
      <c r="D9" s="65">
        <v>70000</v>
      </c>
      <c r="E9" s="65" t="s">
        <v>221</v>
      </c>
      <c r="F9" s="64" t="s">
        <v>222</v>
      </c>
      <c r="G9" s="64" t="s">
        <v>217</v>
      </c>
      <c r="H9" s="63" t="s"/>
    </row>
    <row r="10" spans="1:8" ht="15.75" customHeight="true">
      <c r="A10" s="64" t="s">
        <v>180</v>
      </c>
      <c r="B10" s="64" t="s">
        <v>220</v>
      </c>
      <c r="C10" s="65" t="s">
        <v>215</v>
      </c>
      <c r="D10" s="65">
        <v>70000</v>
      </c>
      <c r="E10" s="65" t="s">
        <v>221</v>
      </c>
      <c r="F10" s="64" t="s">
        <v>222</v>
      </c>
      <c r="G10" s="64" t="s">
        <v>217</v>
      </c>
      <c r="H10" s="63" t="s"/>
    </row>
    <row r="11" spans="1:8" ht="15.75" customHeight="true">
      <c r="A11" s="64" t="s">
        <v>163</v>
      </c>
      <c r="B11" s="64" t="s">
        <v>220</v>
      </c>
      <c r="C11" s="65" t="s">
        <v>215</v>
      </c>
      <c r="D11" s="65">
        <v>70000</v>
      </c>
      <c r="E11" s="65" t="s">
        <v>221</v>
      </c>
      <c r="F11" s="64" t="s">
        <v>222</v>
      </c>
      <c r="G11" s="64" t="s">
        <v>217</v>
      </c>
      <c r="H11" s="63" t="s"/>
    </row>
    <row r="12" spans="1:8" ht="15.75" customHeight="true">
      <c r="A12" s="64" t="s">
        <v>218</v>
      </c>
      <c r="B12" s="64" t="s">
        <v>220</v>
      </c>
      <c r="C12" s="65" t="s">
        <v>215</v>
      </c>
      <c r="D12" s="65">
        <v>72000</v>
      </c>
      <c r="E12" s="65" t="s">
        <v>221</v>
      </c>
      <c r="F12" s="64" t="s">
        <v>222</v>
      </c>
      <c r="G12" s="64" t="s">
        <v>217</v>
      </c>
      <c r="H12" s="63" t="s"/>
    </row>
    <row r="13" spans="1:8" ht="15.75" customHeight="true">
      <c r="A13" s="64" t="s">
        <v>219</v>
      </c>
      <c r="B13" s="64" t="s">
        <v>220</v>
      </c>
      <c r="C13" s="65" t="s">
        <v>215</v>
      </c>
      <c r="D13" s="65">
        <v>73000</v>
      </c>
      <c r="E13" s="65" t="s">
        <v>221</v>
      </c>
      <c r="F13" s="64" t="s">
        <v>222</v>
      </c>
      <c r="G13" s="64" t="s">
        <v>217</v>
      </c>
      <c r="H13" s="63" t="s"/>
    </row>
    <row r="14" spans="1:8" ht="15.75" customHeight="true">
      <c r="A14" s="66" t="s">
        <v>102</v>
      </c>
      <c r="B14" s="66" t="s">
        <v>223</v>
      </c>
      <c r="C14" s="67" t="s">
        <v>215</v>
      </c>
      <c r="D14" s="67">
        <v>77500</v>
      </c>
      <c r="E14" s="67" t="s">
        <v>221</v>
      </c>
      <c r="F14" s="66" t="s">
        <v>222</v>
      </c>
      <c r="G14" s="66" t="s">
        <v>217</v>
      </c>
      <c r="H14" s="63" t="s"/>
    </row>
    <row r="15" spans="1:8" ht="15.75" customHeight="true">
      <c r="A15" s="66" t="s">
        <v>25</v>
      </c>
      <c r="B15" s="66" t="s">
        <v>223</v>
      </c>
      <c r="C15" s="67" t="s">
        <v>215</v>
      </c>
      <c r="D15" s="67">
        <v>77500</v>
      </c>
      <c r="E15" s="67" t="s">
        <v>221</v>
      </c>
      <c r="F15" s="66" t="s">
        <v>222</v>
      </c>
      <c r="G15" s="66" t="s">
        <v>217</v>
      </c>
      <c r="H15" s="63" t="s"/>
    </row>
    <row r="16" spans="1:8" ht="15.75" customHeight="true">
      <c r="A16" s="66" t="s">
        <v>180</v>
      </c>
      <c r="B16" s="66" t="s">
        <v>223</v>
      </c>
      <c r="C16" s="67" t="s">
        <v>215</v>
      </c>
      <c r="D16" s="67">
        <v>81500</v>
      </c>
      <c r="E16" s="67" t="s">
        <v>221</v>
      </c>
      <c r="F16" s="66" t="s">
        <v>222</v>
      </c>
      <c r="G16" s="66" t="s">
        <v>217</v>
      </c>
      <c r="H16" s="63" t="s"/>
    </row>
    <row r="17" spans="1:8" ht="15.75" customHeight="true">
      <c r="A17" s="66" t="s">
        <v>163</v>
      </c>
      <c r="B17" s="66" t="s">
        <v>223</v>
      </c>
      <c r="C17" s="67" t="s">
        <v>215</v>
      </c>
      <c r="D17" s="67">
        <v>81500</v>
      </c>
      <c r="E17" s="67" t="s">
        <v>221</v>
      </c>
      <c r="F17" s="66" t="s">
        <v>222</v>
      </c>
      <c r="G17" s="66" t="s">
        <v>217</v>
      </c>
      <c r="H17" s="63" t="s"/>
    </row>
    <row r="18" spans="1:8" ht="15.75" customHeight="true">
      <c r="A18" s="66" t="s">
        <v>218</v>
      </c>
      <c r="B18" s="66" t="s">
        <v>223</v>
      </c>
      <c r="C18" s="67" t="s">
        <v>215</v>
      </c>
      <c r="D18" s="67">
        <v>84500</v>
      </c>
      <c r="E18" s="67" t="s">
        <v>221</v>
      </c>
      <c r="F18" s="66" t="s">
        <v>222</v>
      </c>
      <c r="G18" s="66" t="s">
        <v>217</v>
      </c>
      <c r="H18" s="63" t="s"/>
    </row>
    <row r="19" spans="1:8" ht="15.75" customHeight="true">
      <c r="A19" s="66" t="s">
        <v>219</v>
      </c>
      <c r="B19" s="68" t="s">
        <v>223</v>
      </c>
      <c r="C19" s="69" t="s">
        <v>215</v>
      </c>
      <c r="D19" s="67">
        <v>84500</v>
      </c>
      <c r="E19" s="67" t="s">
        <v>221</v>
      </c>
      <c r="F19" s="66" t="s">
        <v>222</v>
      </c>
      <c r="G19" s="68" t="s">
        <v>217</v>
      </c>
      <c r="H19" s="70" t="s"/>
    </row>
    <row r="20" spans="1:8" ht="102.75" customHeight="true">
      <c r="A20" s="71" t="s">
        <v>224</v>
      </c>
      <c r="B20" s="72" t="s">
        <v>223</v>
      </c>
      <c r="C20" s="73" t="s">
        <v>215</v>
      </c>
      <c r="D20" s="74">
        <v>91000</v>
      </c>
      <c r="E20" s="75" t="s">
        <v>221</v>
      </c>
      <c r="F20" s="72" t="s">
        <v>222</v>
      </c>
      <c r="G20" s="76" t="s">
        <v>217</v>
      </c>
      <c r="H20" s="77" t="s">
        <v>379</v>
      </c>
    </row>
    <row r="21" spans="1:8" ht="102.75" customHeight="true">
      <c r="A21" s="71" t="s">
        <v>225</v>
      </c>
      <c r="B21" s="72" t="s">
        <v>223</v>
      </c>
      <c r="C21" s="73" t="s">
        <v>215</v>
      </c>
      <c r="D21" s="74">
        <v>93000</v>
      </c>
      <c r="E21" s="75" t="s">
        <v>221</v>
      </c>
      <c r="F21" s="72" t="s">
        <v>222</v>
      </c>
      <c r="G21" s="76" t="s">
        <v>217</v>
      </c>
      <c r="H21" s="78" t="s"/>
    </row>
    <row r="22" spans="1:8" ht="102.75" customHeight="true">
      <c r="A22" s="71" t="s">
        <v>226</v>
      </c>
      <c r="B22" s="72" t="s">
        <v>223</v>
      </c>
      <c r="C22" s="73" t="s">
        <v>215</v>
      </c>
      <c r="D22" s="74">
        <v>95000</v>
      </c>
      <c r="E22" s="75" t="s">
        <v>221</v>
      </c>
      <c r="F22" s="72" t="s">
        <v>222</v>
      </c>
      <c r="G22" s="76" t="s">
        <v>217</v>
      </c>
      <c r="H22" s="79" t="s"/>
    </row>
    <row r="23" spans="1:8">
      <c r="A23" s="80" t="s"/>
      <c r="B23" s="80" t="s"/>
      <c r="C23" s="81" t="s"/>
      <c r="D23" s="82" t="s"/>
      <c r="E23" s="81" t="s"/>
      <c r="F23" s="80" t="s"/>
      <c r="G23" s="80" t="s"/>
      <c r="H23" s="80" t="s"/>
    </row>
    <row r="24" spans="1:8">
      <c r="A24" s="80" t="s"/>
      <c r="B24" s="80" t="s"/>
      <c r="C24" s="81" t="s"/>
      <c r="D24" s="82" t="s"/>
      <c r="E24" s="81" t="s"/>
      <c r="F24" s="80" t="s"/>
      <c r="G24" s="80" t="s"/>
      <c r="H24" s="80" t="s"/>
    </row>
    <row r="25" spans="1:8">
      <c r="A25" s="80" t="s"/>
      <c r="B25" s="80" t="s"/>
      <c r="C25" s="81" t="s"/>
      <c r="D25" s="82" t="s"/>
      <c r="E25" s="81" t="s"/>
      <c r="F25" s="80" t="s"/>
      <c r="G25" s="80" t="s"/>
      <c r="H25" s="80" t="s"/>
    </row>
    <row r="26" spans="1:8">
      <c r="A26" s="80" t="s"/>
      <c r="B26" s="80" t="s"/>
      <c r="C26" s="81" t="s"/>
      <c r="D26" s="82" t="s"/>
      <c r="E26" s="81" t="s"/>
      <c r="F26" s="80" t="s"/>
      <c r="G26" s="80" t="s"/>
      <c r="H26" s="80" t="s"/>
    </row>
    <row r="27" spans="1:8">
      <c r="A27" s="80" t="s"/>
      <c r="B27" s="80" t="s"/>
      <c r="C27" s="81" t="s"/>
      <c r="D27" s="82" t="s"/>
      <c r="E27" s="81" t="s"/>
      <c r="F27" s="80" t="s"/>
      <c r="G27" s="80" t="s"/>
      <c r="H27" s="80" t="s"/>
    </row>
    <row r="28" spans="1:8">
      <c r="A28" s="80" t="s"/>
      <c r="B28" s="80" t="s"/>
      <c r="C28" s="81" t="s"/>
      <c r="D28" s="82" t="s"/>
      <c r="E28" s="81" t="s"/>
      <c r="F28" s="80" t="s"/>
      <c r="G28" s="80" t="s"/>
      <c r="H28" s="80" t="s"/>
    </row>
    <row r="29" spans="1:8">
      <c r="A29" s="80" t="s"/>
      <c r="B29" s="80" t="s"/>
      <c r="C29" s="81" t="s"/>
      <c r="D29" s="82" t="s"/>
      <c r="E29" s="81" t="s"/>
      <c r="F29" s="80" t="s"/>
      <c r="G29" s="80" t="s"/>
      <c r="H29" s="80" t="s"/>
    </row>
    <row r="30" spans="1:8">
      <c r="A30" s="80" t="s"/>
      <c r="B30" s="80" t="s"/>
      <c r="C30" s="81" t="s"/>
      <c r="D30" s="82" t="s"/>
      <c r="E30" s="81" t="s"/>
      <c r="F30" s="80" t="s"/>
      <c r="G30" s="80" t="s"/>
      <c r="H30" s="80" t="s"/>
    </row>
  </sheetData>
  <mergeCells count="2">
    <mergeCell ref="H2:H19"/>
    <mergeCell ref="H20:H2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2025-05-21T10:44:01Z</dcterms:created>
  <dcterms:modified xsi:type="dcterms:W3CDTF">2025-05-21T10:44:01Z</dcterms:modified>
</cp:coreProperties>
</file>