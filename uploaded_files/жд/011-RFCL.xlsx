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barbasina/Desktop/из почты/KALK/жд/"/>
    </mc:Choice>
  </mc:AlternateContent>
  <xr:revisionPtr revIDLastSave="0" documentId="13_ncr:1_{A5188427-316B-7F41-B4DE-F909DC77B4BD}" xr6:coauthVersionLast="47" xr6:coauthVersionMax="47" xr10:uidLastSave="{00000000-0000-0000-0000-000000000000}"/>
  <bookViews>
    <workbookView xWindow="5360" yWindow="1440" windowWidth="28240" windowHeight="17240" xr2:uid="{B34A1F68-05BD-E046-961D-6CF40BBE0464}"/>
  </bookViews>
  <sheets>
    <sheet name="011" sheetId="2" r:id="rId1"/>
    <sheet name="для калькулятор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  <c r="D2" i="1"/>
  <c r="D7" i="1"/>
  <c r="D8" i="1"/>
  <c r="D3" i="1"/>
  <c r="D4" i="1"/>
  <c r="D5" i="1"/>
  <c r="D6" i="1"/>
  <c r="O4" i="1"/>
  <c r="O5" i="1"/>
  <c r="O6" i="1"/>
  <c r="O3" i="1"/>
</calcChain>
</file>

<file path=xl/sharedStrings.xml><?xml version="1.0" encoding="utf-8"?>
<sst xmlns="http://schemas.openxmlformats.org/spreadsheetml/2006/main" count="82" uniqueCount="42">
  <si>
    <t>Сервис</t>
  </si>
  <si>
    <t xml:space="preserve">Базис </t>
  </si>
  <si>
    <t>город или провинция отправления</t>
  </si>
  <si>
    <t>город или провинция доставки</t>
  </si>
  <si>
    <t>СВХ</t>
  </si>
  <si>
    <t>стоимость СВХ</t>
  </si>
  <si>
    <t>стоимость терминальной обработки</t>
  </si>
  <si>
    <t>автовывоз</t>
  </si>
  <si>
    <t>тип тс/ктк</t>
  </si>
  <si>
    <t>граница/порт</t>
  </si>
  <si>
    <t>стоимость USD</t>
  </si>
  <si>
    <t>стоимость рублей</t>
  </si>
  <si>
    <t>стоимость охраны</t>
  </si>
  <si>
    <t>валидность</t>
  </si>
  <si>
    <t>Direct Railway</t>
  </si>
  <si>
    <t>40HQ</t>
  </si>
  <si>
    <t>NINGBO rate</t>
  </si>
  <si>
    <t>SHANGHAI rate</t>
  </si>
  <si>
    <t>QINGDAO rate</t>
  </si>
  <si>
    <t>TIANJIN rate</t>
  </si>
  <si>
    <t>GUANGZHOU rate</t>
  </si>
  <si>
    <t>Выходы поездов на стацнию</t>
  </si>
  <si>
    <t>Выходы поездов на станции</t>
  </si>
  <si>
    <t>Шушары,Новосибирск,Екатеринбург,Ростов:</t>
  </si>
  <si>
    <t xml:space="preserve">Elektrougli </t>
  </si>
  <si>
    <t>жд</t>
  </si>
  <si>
    <t>FOB</t>
  </si>
  <si>
    <t>даты выходов</t>
  </si>
  <si>
    <t>Электроугли</t>
  </si>
  <si>
    <t>Москва</t>
  </si>
  <si>
    <t>40 HC</t>
  </si>
  <si>
    <t>21.04, 29.04</t>
  </si>
  <si>
    <t>Электроугли:</t>
  </si>
  <si>
    <t xml:space="preserve"> 13.04, 15.04, 17.04, 19.04</t>
  </si>
  <si>
    <t>-</t>
  </si>
  <si>
    <t>транзитный срок</t>
  </si>
  <si>
    <t>18-20</t>
  </si>
  <si>
    <t>SHENZHEN rate</t>
  </si>
  <si>
    <t>TAICING rate</t>
  </si>
  <si>
    <t>Эрлянь</t>
  </si>
  <si>
    <t>41 HC</t>
  </si>
  <si>
    <t>42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</si>
</sst>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₽"/>
    <numFmt numFmtId="165" formatCode="#,##0\ [$$-C0C]"/>
  </numFmts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164" fontId="0" fillId="2" borderId="1" xfId="0" applyNumberFormat="1" applyFill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6" fontId="0" fillId="0" borderId="1" xfId="0" applyNumberFormat="1" applyBorder="1"/>
    <xf numFmtId="165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D5FA-843A-6041-915D-51D6D2AF94EE}">
  <dimension ref="A1:B16"/>
  <sheetViews>
    <sheetView tabSelected="1" workbookViewId="0">
      <selection activeCell="B10" sqref="B10"/>
    </sheetView>
  </sheetViews>
  <sheetFormatPr baseColWidth="10" defaultRowHeight="16" x14ac:dyDescent="0.2"/>
  <cols>
    <col min="1" max="1" width="33.6640625" bestFit="1" customWidth="1"/>
  </cols>
  <sheetData>
    <row r="1" spans="1:2" x14ac:dyDescent="0.2">
      <c r="A1" s="6" t="s">
        <v>14</v>
      </c>
      <c r="B1" s="6" t="s">
        <v>24</v>
      </c>
    </row>
    <row r="2" spans="1:2" x14ac:dyDescent="0.2">
      <c r="A2" s="6"/>
      <c r="B2" s="6" t="s">
        <v>15</v>
      </c>
    </row>
    <row r="3" spans="1:2" x14ac:dyDescent="0.2">
      <c r="A3" s="6" t="s">
        <v>20</v>
      </c>
      <c r="B3" s="6">
        <v>4400</v>
      </c>
    </row>
    <row r="4" spans="1:2" x14ac:dyDescent="0.2">
      <c r="A4" s="6" t="s">
        <v>37</v>
      </c>
      <c r="B4" s="6">
        <v>4400</v>
      </c>
    </row>
    <row r="5" spans="1:2" x14ac:dyDescent="0.2">
      <c r="A5" s="6" t="s">
        <v>18</v>
      </c>
      <c r="B5" s="6">
        <v>4150</v>
      </c>
    </row>
    <row r="6" spans="1:2" x14ac:dyDescent="0.2">
      <c r="A6" s="6" t="s">
        <v>19</v>
      </c>
      <c r="B6" s="6">
        <v>4150</v>
      </c>
    </row>
    <row r="7" spans="1:2" x14ac:dyDescent="0.2">
      <c r="A7" s="6" t="s">
        <v>38</v>
      </c>
      <c r="B7" s="6">
        <v>4400</v>
      </c>
    </row>
    <row r="8" spans="1:2" x14ac:dyDescent="0.2">
      <c r="A8" s="6" t="s">
        <v>17</v>
      </c>
      <c r="B8" s="6">
        <v>4400</v>
      </c>
    </row>
    <row r="9" spans="1:2" x14ac:dyDescent="0.2">
      <c r="A9" s="6" t="s">
        <v>16</v>
      </c>
      <c r="B9" s="6">
        <v>4450</v>
      </c>
    </row>
    <row r="10" spans="1:2" x14ac:dyDescent="0.2">
      <c r="B10" s="6"/>
    </row>
    <row r="11" spans="1:2" x14ac:dyDescent="0.2">
      <c r="A11" s="5" t="s">
        <v>21</v>
      </c>
    </row>
    <row r="12" spans="1:2" x14ac:dyDescent="0.2">
      <c r="A12" s="5" t="s">
        <v>32</v>
      </c>
    </row>
    <row r="13" spans="1:2" x14ac:dyDescent="0.2">
      <c r="A13" t="s">
        <v>33</v>
      </c>
    </row>
    <row r="14" spans="1:2" x14ac:dyDescent="0.2">
      <c r="A14" s="5" t="s">
        <v>22</v>
      </c>
    </row>
    <row r="15" spans="1:2" x14ac:dyDescent="0.2">
      <c r="A15" s="5" t="s">
        <v>23</v>
      </c>
    </row>
    <row r="16" spans="1:2" x14ac:dyDescent="0.2">
      <c r="A16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9C39-D0BA-6049-9DA4-1975BC2E1C3A}">
  <dimension ref="A1:P8"/>
  <sheetViews>
    <sheetView workbookViewId="0">
      <selection activeCell="P9" sqref="P9"/>
    </sheetView>
  </sheetViews>
  <sheetFormatPr baseColWidth="10" defaultRowHeight="16" x14ac:dyDescent="0.2"/>
  <cols>
    <col min="1" max="3" width="10.83203125" style="1"/>
    <col min="4" max="4" width="31.5" style="1" bestFit="1" customWidth="1"/>
    <col min="5" max="5" width="12.83203125" style="1" bestFit="1" customWidth="1"/>
    <col min="6" max="6" width="19.6640625" style="1" bestFit="1" customWidth="1"/>
    <col min="7" max="7" width="9.83203125" style="1" bestFit="1" customWidth="1"/>
    <col min="8" max="8" width="10.83203125" style="1"/>
    <col min="9" max="9" width="15.6640625" style="1" bestFit="1" customWidth="1"/>
  </cols>
  <sheetData>
    <row r="1" spans="1:16" ht="68" x14ac:dyDescent="0.2">
      <c r="A1" s="2" t="s">
        <v>0</v>
      </c>
      <c r="B1" s="2" t="s">
        <v>1</v>
      </c>
      <c r="C1" s="2" t="s">
        <v>8</v>
      </c>
      <c r="D1" s="3" t="s">
        <v>2</v>
      </c>
      <c r="E1" s="2" t="s">
        <v>9</v>
      </c>
      <c r="F1" s="2" t="s">
        <v>3</v>
      </c>
      <c r="G1" s="2" t="s">
        <v>10</v>
      </c>
      <c r="H1" s="4" t="s">
        <v>11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12</v>
      </c>
      <c r="N1" s="2" t="s">
        <v>13</v>
      </c>
      <c r="O1" s="2" t="s">
        <v>35</v>
      </c>
      <c r="P1" s="2" t="s">
        <v>27</v>
      </c>
    </row>
    <row r="2" spans="1:16" ht="17" x14ac:dyDescent="0.2">
      <c r="A2" s="7" t="s">
        <v>25</v>
      </c>
      <c r="B2" s="7" t="s">
        <v>26</v>
      </c>
      <c r="C2" s="7" t="s">
        <v>30</v>
      </c>
      <c r="D2" s="7" t="str">
        <f>'011'!A3</f>
        <v>GUANGZHOU rate</v>
      </c>
      <c r="E2" s="7" t="s">
        <v>39</v>
      </c>
      <c r="F2" s="7" t="s">
        <v>29</v>
      </c>
      <c r="G2" s="10">
        <f>'011'!B3</f>
        <v>4400</v>
      </c>
      <c r="H2" s="7"/>
      <c r="I2" s="7" t="s">
        <v>28</v>
      </c>
      <c r="J2" s="8"/>
      <c r="K2" s="8"/>
      <c r="L2" s="8"/>
      <c r="M2" s="8" t="s">
        <v>34</v>
      </c>
      <c r="N2" s="9">
        <v>45777</v>
      </c>
      <c r="O2" s="8" t="s">
        <v>36</v>
      </c>
      <c r="P2" s="6"/>
    </row>
    <row r="3" spans="1:16" ht="17" x14ac:dyDescent="0.2">
      <c r="A3" s="7" t="s">
        <v>25</v>
      </c>
      <c r="B3" s="7" t="s">
        <v>26</v>
      </c>
      <c r="C3" s="7" t="s">
        <v>30</v>
      </c>
      <c r="D3" s="7" t="str">
        <f>'011'!A4</f>
        <v>SHENZHEN rate</v>
      </c>
      <c r="E3" s="7" t="s">
        <v>39</v>
      </c>
      <c r="F3" s="7" t="s">
        <v>29</v>
      </c>
      <c r="G3" s="10">
        <f>'011'!B4</f>
        <v>4400</v>
      </c>
      <c r="H3" s="7"/>
      <c r="I3" s="7" t="s">
        <v>28</v>
      </c>
      <c r="J3" s="8"/>
      <c r="K3" s="8"/>
      <c r="L3" s="8"/>
      <c r="M3" s="8" t="s">
        <v>34</v>
      </c>
      <c r="N3" s="9">
        <v>45777</v>
      </c>
      <c r="O3" s="8" t="str">
        <f>$O$2</f>
        <v>18-20</v>
      </c>
      <c r="P3" s="6"/>
    </row>
    <row r="4" spans="1:16" ht="17" x14ac:dyDescent="0.2">
      <c r="A4" s="7" t="s">
        <v>25</v>
      </c>
      <c r="B4" s="7" t="s">
        <v>26</v>
      </c>
      <c r="C4" s="7" t="s">
        <v>30</v>
      </c>
      <c r="D4" s="7" t="str">
        <f>'011'!A5</f>
        <v>QINGDAO rate</v>
      </c>
      <c r="E4" s="7" t="s">
        <v>39</v>
      </c>
      <c r="F4" s="7" t="s">
        <v>29</v>
      </c>
      <c r="G4" s="10">
        <f>'011'!B5</f>
        <v>4150</v>
      </c>
      <c r="H4" s="7"/>
      <c r="I4" s="7" t="s">
        <v>28</v>
      </c>
      <c r="J4" s="8"/>
      <c r="K4" s="8"/>
      <c r="L4" s="8"/>
      <c r="M4" s="8" t="s">
        <v>34</v>
      </c>
      <c r="N4" s="9">
        <v>45777</v>
      </c>
      <c r="O4" s="8" t="str">
        <f t="shared" ref="O4:O6" si="0">$O$2</f>
        <v>18-20</v>
      </c>
      <c r="P4" s="6"/>
    </row>
    <row r="5" spans="1:16" ht="17" x14ac:dyDescent="0.2">
      <c r="A5" s="7" t="s">
        <v>25</v>
      </c>
      <c r="B5" s="7" t="s">
        <v>26</v>
      </c>
      <c r="C5" s="7" t="s">
        <v>30</v>
      </c>
      <c r="D5" s="7" t="str">
        <f>'011'!A6</f>
        <v>TIANJIN rate</v>
      </c>
      <c r="E5" s="7" t="s">
        <v>39</v>
      </c>
      <c r="F5" s="7" t="s">
        <v>29</v>
      </c>
      <c r="G5" s="10">
        <f>'011'!B6</f>
        <v>4150</v>
      </c>
      <c r="H5" s="7"/>
      <c r="I5" s="7" t="s">
        <v>28</v>
      </c>
      <c r="J5" s="8"/>
      <c r="K5" s="8"/>
      <c r="L5" s="8"/>
      <c r="M5" s="8" t="s">
        <v>34</v>
      </c>
      <c r="N5" s="9">
        <v>45777</v>
      </c>
      <c r="O5" s="8" t="str">
        <f t="shared" si="0"/>
        <v>18-20</v>
      </c>
      <c r="P5" s="6"/>
    </row>
    <row r="6" spans="1:16" ht="17" x14ac:dyDescent="0.2">
      <c r="A6" s="7" t="s">
        <v>25</v>
      </c>
      <c r="B6" s="7" t="s">
        <v>26</v>
      </c>
      <c r="C6" s="7" t="s">
        <v>30</v>
      </c>
      <c r="D6" s="7" t="str">
        <f>'011'!A7</f>
        <v>TAICING rate</v>
      </c>
      <c r="E6" s="7" t="s">
        <v>39</v>
      </c>
      <c r="F6" s="7" t="s">
        <v>29</v>
      </c>
      <c r="G6" s="10">
        <f>'011'!B7</f>
        <v>4400</v>
      </c>
      <c r="H6" s="7"/>
      <c r="I6" s="7" t="s">
        <v>28</v>
      </c>
      <c r="J6" s="8"/>
      <c r="K6" s="8"/>
      <c r="L6" s="8"/>
      <c r="M6" s="8" t="s">
        <v>34</v>
      </c>
      <c r="N6" s="9">
        <v>45777</v>
      </c>
      <c r="O6" s="8" t="str">
        <f t="shared" si="0"/>
        <v>18-20</v>
      </c>
      <c r="P6" s="6"/>
    </row>
    <row r="7" spans="1:16" ht="17" x14ac:dyDescent="0.2">
      <c r="A7" s="7" t="s">
        <v>25</v>
      </c>
      <c r="B7" s="7" t="s">
        <v>26</v>
      </c>
      <c r="C7" s="7" t="s">
        <v>40</v>
      </c>
      <c r="D7" s="7" t="str">
        <f>'011'!A8</f>
        <v>SHANGHAI rate</v>
      </c>
      <c r="E7" s="7" t="s">
        <v>39</v>
      </c>
      <c r="F7" s="7" t="s">
        <v>29</v>
      </c>
      <c r="G7" s="10">
        <f>'011'!B8</f>
        <v>4400</v>
      </c>
      <c r="H7" s="7"/>
      <c r="I7" s="7" t="s">
        <v>28</v>
      </c>
      <c r="J7" s="8"/>
      <c r="K7" s="8"/>
      <c r="L7" s="8"/>
      <c r="M7" s="8" t="s">
        <v>34</v>
      </c>
      <c r="N7" s="9">
        <v>45778</v>
      </c>
      <c r="O7" s="8"/>
      <c r="P7" s="6"/>
    </row>
    <row r="8" spans="1:16" ht="17" x14ac:dyDescent="0.2">
      <c r="A8" s="7" t="s">
        <v>25</v>
      </c>
      <c r="B8" s="7" t="s">
        <v>26</v>
      </c>
      <c r="C8" s="7" t="s">
        <v>41</v>
      </c>
      <c r="D8" s="7" t="str">
        <f>'011'!A9</f>
        <v>NINGBO rate</v>
      </c>
      <c r="E8" s="7" t="s">
        <v>39</v>
      </c>
      <c r="F8" s="7" t="s">
        <v>29</v>
      </c>
      <c r="G8" s="10">
        <f>'011'!B9</f>
        <v>4450</v>
      </c>
      <c r="H8" s="7"/>
      <c r="I8" s="7" t="s">
        <v>28</v>
      </c>
      <c r="J8" s="8"/>
      <c r="K8" s="8"/>
      <c r="L8" s="8"/>
      <c r="M8" s="8" t="s">
        <v>34</v>
      </c>
      <c r="N8" s="9">
        <v>45779</v>
      </c>
      <c r="O8" s="8"/>
      <c r="P8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011</vt:lpstr>
      <vt:lpstr>для калькулятора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2025-04-10T22:22:12Z</dcterms:created>
  <dcterms:modified xsi:type="dcterms:W3CDTF">2025-08-06T18:53:58Z</dcterms:modified>
</cp:coreProperties>
</file>