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barbasina/Desktop/калькулятор ставок/"/>
    </mc:Choice>
  </mc:AlternateContent>
  <xr:revisionPtr revIDLastSave="0" documentId="13_ncr:1_{78F95E4E-5167-DD46-B356-45A7356CB474}" xr6:coauthVersionLast="47" xr6:coauthVersionMax="47" xr10:uidLastSave="{00000000-0000-0000-0000-000000000000}"/>
  <bookViews>
    <workbookView xWindow="5360" yWindow="1440" windowWidth="28240" windowHeight="17240" activeTab="1" xr2:uid="{B34A1F68-05BD-E046-961D-6CF40BBE0464}"/>
  </bookViews>
  <sheets>
    <sheet name="Инга" sheetId="2" r:id="rId1"/>
    <sheet name="для калькулятор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O9" i="1"/>
  <c r="O10" i="1"/>
  <c r="O11" i="1"/>
  <c r="O8" i="1"/>
  <c r="O15" i="1"/>
  <c r="O16" i="1"/>
  <c r="O17" i="1"/>
  <c r="O18" i="1"/>
  <c r="O19" i="1"/>
  <c r="O20" i="1"/>
  <c r="O21" i="1"/>
  <c r="O14" i="1"/>
  <c r="O24" i="1"/>
  <c r="O25" i="1"/>
  <c r="O26" i="1"/>
  <c r="O27" i="1"/>
  <c r="O28" i="1"/>
  <c r="O29" i="1"/>
  <c r="O30" i="1"/>
  <c r="O31" i="1"/>
  <c r="O23" i="1"/>
  <c r="O12" i="1"/>
  <c r="O4" i="1"/>
  <c r="O5" i="1"/>
  <c r="O6" i="1"/>
  <c r="O3" i="1"/>
  <c r="P30" i="1"/>
  <c r="P31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7" i="1"/>
  <c r="P3" i="1"/>
  <c r="P4" i="1"/>
  <c r="P5" i="1"/>
  <c r="P6" i="1"/>
  <c r="P2" i="1"/>
  <c r="G28" i="1"/>
  <c r="G29" i="1"/>
  <c r="G30" i="1"/>
  <c r="G31" i="1"/>
  <c r="G23" i="1"/>
  <c r="G24" i="1"/>
  <c r="G25" i="1"/>
  <c r="G26" i="1"/>
  <c r="G27" i="1"/>
  <c r="G22" i="1"/>
  <c r="G18" i="1"/>
  <c r="G19" i="1"/>
  <c r="G20" i="1"/>
  <c r="G21" i="1"/>
  <c r="G17" i="1"/>
  <c r="G13" i="1"/>
  <c r="G14" i="1"/>
  <c r="G15" i="1"/>
  <c r="G16" i="1"/>
  <c r="G12" i="1"/>
  <c r="G8" i="1"/>
  <c r="G9" i="1"/>
  <c r="G10" i="1"/>
  <c r="G11" i="1"/>
  <c r="G3" i="1"/>
  <c r="G4" i="1"/>
  <c r="G5" i="1"/>
  <c r="G6" i="1"/>
  <c r="G2" i="1"/>
  <c r="G7" i="1"/>
  <c r="D3" i="1"/>
  <c r="D4" i="1"/>
  <c r="D5" i="1"/>
  <c r="D6" i="1"/>
  <c r="D18" i="1"/>
  <c r="D19" i="1"/>
  <c r="D20" i="1"/>
  <c r="D21" i="1"/>
  <c r="D17" i="1"/>
  <c r="D22" i="1"/>
  <c r="D28" i="1"/>
  <c r="D29" i="1"/>
  <c r="D30" i="1"/>
  <c r="D31" i="1"/>
  <c r="D27" i="1"/>
  <c r="D23" i="1"/>
  <c r="D24" i="1"/>
  <c r="D25" i="1"/>
  <c r="D26" i="1"/>
  <c r="D16" i="1"/>
  <c r="D12" i="1"/>
  <c r="D13" i="1"/>
  <c r="D14" i="1"/>
  <c r="D15" i="1"/>
  <c r="D8" i="1"/>
  <c r="D9" i="1"/>
  <c r="D10" i="1"/>
  <c r="D11" i="1"/>
  <c r="D7" i="1"/>
  <c r="D2" i="1"/>
</calcChain>
</file>

<file path=xl/sharedStrings.xml><?xml version="1.0" encoding="utf-8"?>
<sst xmlns="http://schemas.openxmlformats.org/spreadsheetml/2006/main" count="255" uniqueCount="56">
  <si>
    <t>Сервис</t>
  </si>
  <si>
    <t xml:space="preserve">Базис </t>
  </si>
  <si>
    <t>город или провинция отправления</t>
  </si>
  <si>
    <t>город или провинция доставки</t>
  </si>
  <si>
    <t>СВХ</t>
  </si>
  <si>
    <t>стоимость СВХ</t>
  </si>
  <si>
    <t>стоимость терминальной обработки</t>
  </si>
  <si>
    <t>автовывоз</t>
  </si>
  <si>
    <t>тип тс/ктк</t>
  </si>
  <si>
    <t>граница/порт</t>
  </si>
  <si>
    <t>стоимость USD</t>
  </si>
  <si>
    <t>стоимость рублей</t>
  </si>
  <si>
    <t>стоимость охраны</t>
  </si>
  <si>
    <t>валидность</t>
  </si>
  <si>
    <t>Direct Railway</t>
  </si>
  <si>
    <t>Novosibirsk</t>
  </si>
  <si>
    <t>40HQ</t>
  </si>
  <si>
    <t>NINGBO rate</t>
  </si>
  <si>
    <t>SHANGHAI rate</t>
  </si>
  <si>
    <t>QINGDAO rate</t>
  </si>
  <si>
    <t>TIANJIN rate</t>
  </si>
  <si>
    <t>GUANGZHOU rate</t>
  </si>
  <si>
    <t>Выходы поездов на стацнию</t>
  </si>
  <si>
    <t>Выходы поездов на станции</t>
  </si>
  <si>
    <t>Шушары,Новосибирск,Екатеринбург,Ростов:</t>
  </si>
  <si>
    <t xml:space="preserve">Ekaterinburg </t>
  </si>
  <si>
    <t>Rostov</t>
  </si>
  <si>
    <t xml:space="preserve">Krasnodar </t>
  </si>
  <si>
    <t>Shushary</t>
  </si>
  <si>
    <t xml:space="preserve">Elektrougli </t>
  </si>
  <si>
    <t>жд</t>
  </si>
  <si>
    <t>FOB</t>
  </si>
  <si>
    <t>даты выходов</t>
  </si>
  <si>
    <t>Электроугли</t>
  </si>
  <si>
    <t>Москва</t>
  </si>
  <si>
    <t>Санкт-Петербург</t>
  </si>
  <si>
    <t>Новосибирск</t>
  </si>
  <si>
    <t>Екатеринбург</t>
  </si>
  <si>
    <t>Ростов</t>
  </si>
  <si>
    <t>Краснодар</t>
  </si>
  <si>
    <t>Алашенкоу</t>
  </si>
  <si>
    <t>40 HC</t>
  </si>
  <si>
    <t>Шушары</t>
  </si>
  <si>
    <t>Клещиха</t>
  </si>
  <si>
    <t>21.04, 29.04</t>
  </si>
  <si>
    <t>Ростов товарный</t>
  </si>
  <si>
    <t>Электроугли:</t>
  </si>
  <si>
    <t xml:space="preserve"> 13.04, 15.04, 17.04, 19.04</t>
  </si>
  <si>
    <t>Краснодар-Сортировочный</t>
  </si>
  <si>
    <t>-</t>
  </si>
  <si>
    <t>транзитный срок</t>
  </si>
  <si>
    <t>18-20</t>
  </si>
  <si>
    <t>23-25</t>
  </si>
  <si>
    <t>15-20</t>
  </si>
  <si>
    <t>20-25</t>
  </si>
  <si>
    <t>Екатеринбург-Товарный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</si>
</sst>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_₽"/>
    <numFmt numFmtId="165" formatCode="#,##0\ [$$-C0C]"/>
    <numFmt numFmtId="167" formatCode="#,##0\ &quot;₽&quot;"/>
  </numFmts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9"/>
      <color theme="1"/>
      <name val="Helvetica"/>
      <family val="2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164" fontId="0" fillId="2" borderId="1" xfId="0" applyNumberFormat="1" applyFill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6" fontId="0" fillId="0" borderId="1" xfId="0" applyNumberFormat="1" applyBorder="1"/>
    <xf numFmtId="165" fontId="0" fillId="0" borderId="1" xfId="0" applyNumberFormat="1" applyBorder="1" applyAlignment="1">
      <alignment wrapText="1"/>
    </xf>
    <xf numFmtId="167" fontId="0" fillId="2" borderId="1" xfId="0" applyNumberFormat="1" applyFill="1" applyBorder="1" applyAlignment="1">
      <alignment wrapText="1"/>
    </xf>
    <xf numFmtId="167" fontId="0" fillId="0" borderId="1" xfId="0" applyNumberFormat="1" applyBorder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D5FA-843A-6041-915D-51D6D2AF94EE}">
  <dimension ref="A1:G15"/>
  <sheetViews>
    <sheetView workbookViewId="0">
      <selection activeCell="B15" sqref="B15"/>
    </sheetView>
  </sheetViews>
  <sheetFormatPr baseColWidth="10" defaultRowHeight="16" x14ac:dyDescent="0.2"/>
  <cols>
    <col min="1" max="1" width="33.6640625" bestFit="1" customWidth="1"/>
  </cols>
  <sheetData>
    <row r="1" spans="1:7" x14ac:dyDescent="0.2">
      <c r="A1" s="6" t="s">
        <v>14</v>
      </c>
      <c r="B1" s="6" t="s">
        <v>29</v>
      </c>
      <c r="C1" s="6" t="s">
        <v>28</v>
      </c>
      <c r="D1" s="6" t="s">
        <v>15</v>
      </c>
      <c r="E1" s="6" t="s">
        <v>25</v>
      </c>
      <c r="F1" s="6" t="s">
        <v>26</v>
      </c>
      <c r="G1" s="6" t="s">
        <v>27</v>
      </c>
    </row>
    <row r="2" spans="1:7" x14ac:dyDescent="0.2">
      <c r="A2" s="6"/>
      <c r="B2" s="6" t="s">
        <v>16</v>
      </c>
      <c r="C2" s="6" t="s">
        <v>16</v>
      </c>
      <c r="D2" s="6" t="s">
        <v>16</v>
      </c>
      <c r="E2" s="6" t="s">
        <v>16</v>
      </c>
      <c r="F2" s="6" t="s">
        <v>16</v>
      </c>
      <c r="G2" s="6" t="s">
        <v>16</v>
      </c>
    </row>
    <row r="3" spans="1:7" x14ac:dyDescent="0.2">
      <c r="A3" s="6" t="s">
        <v>17</v>
      </c>
      <c r="B3" s="6">
        <v>4250</v>
      </c>
      <c r="C3" s="6">
        <v>5650</v>
      </c>
      <c r="D3" s="6">
        <v>4750</v>
      </c>
      <c r="E3" s="6">
        <v>5150</v>
      </c>
      <c r="F3" s="6">
        <v>7050</v>
      </c>
      <c r="G3" s="6">
        <v>7150</v>
      </c>
    </row>
    <row r="4" spans="1:7" x14ac:dyDescent="0.2">
      <c r="A4" s="6" t="s">
        <v>18</v>
      </c>
      <c r="B4" s="6">
        <v>4250</v>
      </c>
      <c r="C4" s="6">
        <v>5350</v>
      </c>
      <c r="D4" s="6">
        <v>4450</v>
      </c>
      <c r="E4" s="6">
        <v>4850</v>
      </c>
      <c r="F4" s="6">
        <v>6850</v>
      </c>
      <c r="G4" s="6">
        <v>6950</v>
      </c>
    </row>
    <row r="5" spans="1:7" x14ac:dyDescent="0.2">
      <c r="A5" s="6" t="s">
        <v>19</v>
      </c>
      <c r="B5" s="6">
        <v>4200</v>
      </c>
      <c r="C5" s="6">
        <v>5150</v>
      </c>
      <c r="D5" s="6">
        <v>4250</v>
      </c>
      <c r="E5" s="6">
        <v>4650</v>
      </c>
      <c r="F5" s="6">
        <v>6550</v>
      </c>
      <c r="G5" s="6">
        <v>6650</v>
      </c>
    </row>
    <row r="6" spans="1:7" x14ac:dyDescent="0.2">
      <c r="A6" s="6" t="s">
        <v>20</v>
      </c>
      <c r="B6" s="6">
        <v>4300</v>
      </c>
      <c r="C6" s="6">
        <v>5350</v>
      </c>
      <c r="D6" s="6">
        <v>4450</v>
      </c>
      <c r="E6" s="6">
        <v>4850</v>
      </c>
      <c r="F6" s="6">
        <v>6750</v>
      </c>
      <c r="G6" s="6">
        <v>6850</v>
      </c>
    </row>
    <row r="7" spans="1:7" x14ac:dyDescent="0.2">
      <c r="A7" s="6" t="s">
        <v>21</v>
      </c>
      <c r="B7" s="6">
        <v>4550</v>
      </c>
      <c r="C7" s="6">
        <v>5400</v>
      </c>
      <c r="D7" s="6">
        <v>4550</v>
      </c>
      <c r="E7" s="6">
        <v>4950</v>
      </c>
      <c r="F7" s="6">
        <v>6950</v>
      </c>
      <c r="G7" s="6">
        <v>7050</v>
      </c>
    </row>
    <row r="8" spans="1:7" x14ac:dyDescent="0.2">
      <c r="A8" s="5" t="s">
        <v>22</v>
      </c>
    </row>
    <row r="9" spans="1:7" x14ac:dyDescent="0.2">
      <c r="A9" s="5" t="s">
        <v>46</v>
      </c>
    </row>
    <row r="10" spans="1:7" x14ac:dyDescent="0.2">
      <c r="A10" t="s">
        <v>47</v>
      </c>
    </row>
    <row r="11" spans="1:7" x14ac:dyDescent="0.2">
      <c r="A11" s="5" t="s">
        <v>23</v>
      </c>
    </row>
    <row r="12" spans="1:7" x14ac:dyDescent="0.2">
      <c r="A12" s="5" t="s">
        <v>24</v>
      </c>
    </row>
    <row r="13" spans="1:7" x14ac:dyDescent="0.2">
      <c r="A13" s="5" t="s">
        <v>44</v>
      </c>
    </row>
    <row r="15" spans="1:7" x14ac:dyDescent="0.2">
      <c r="A15" s="5" t="s">
        <v>33</v>
      </c>
      <c r="B15">
        <v>44690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B9C39-D0BA-6049-9DA4-1975BC2E1C3A}">
  <dimension ref="A1:P31"/>
  <sheetViews>
    <sheetView tabSelected="1" topLeftCell="A36" workbookViewId="0">
      <selection activeCell="K2" sqref="K2:K6"/>
    </sheetView>
  </sheetViews>
  <sheetFormatPr baseColWidth="10" defaultRowHeight="16" x14ac:dyDescent="0.2"/>
  <cols>
    <col min="1" max="3" width="10.83203125" style="1"/>
    <col min="4" max="4" width="31.5" style="1" bestFit="1" customWidth="1"/>
    <col min="5" max="5" width="12.83203125" style="1" bestFit="1" customWidth="1"/>
    <col min="6" max="6" width="19.6640625" style="1" bestFit="1" customWidth="1"/>
    <col min="7" max="7" width="9.83203125" style="1" bestFit="1" customWidth="1"/>
    <col min="8" max="8" width="10.83203125" style="1"/>
    <col min="9" max="9" width="15.6640625" style="1" bestFit="1" customWidth="1"/>
    <col min="11" max="11" width="10.83203125" style="13"/>
  </cols>
  <sheetData>
    <row r="1" spans="1:16" ht="68" x14ac:dyDescent="0.2">
      <c r="A1" s="2" t="s">
        <v>0</v>
      </c>
      <c r="B1" s="2" t="s">
        <v>1</v>
      </c>
      <c r="C1" s="2" t="s">
        <v>8</v>
      </c>
      <c r="D1" s="3" t="s">
        <v>2</v>
      </c>
      <c r="E1" s="2" t="s">
        <v>9</v>
      </c>
      <c r="F1" s="2" t="s">
        <v>3</v>
      </c>
      <c r="G1" s="2" t="s">
        <v>10</v>
      </c>
      <c r="H1" s="4" t="s">
        <v>11</v>
      </c>
      <c r="I1" s="2" t="s">
        <v>4</v>
      </c>
      <c r="J1" s="2" t="s">
        <v>5</v>
      </c>
      <c r="K1" s="11" t="s">
        <v>6</v>
      </c>
      <c r="L1" s="2" t="s">
        <v>7</v>
      </c>
      <c r="M1" s="2" t="s">
        <v>12</v>
      </c>
      <c r="N1" s="2" t="s">
        <v>13</v>
      </c>
      <c r="O1" s="2" t="s">
        <v>50</v>
      </c>
      <c r="P1" s="2" t="s">
        <v>32</v>
      </c>
    </row>
    <row r="2" spans="1:16" ht="27" x14ac:dyDescent="0.2">
      <c r="A2" s="7" t="s">
        <v>30</v>
      </c>
      <c r="B2" s="7" t="s">
        <v>31</v>
      </c>
      <c r="C2" s="7" t="s">
        <v>41</v>
      </c>
      <c r="D2" s="7" t="str">
        <f>Инга!A3</f>
        <v>NINGBO rate</v>
      </c>
      <c r="E2" s="7" t="s">
        <v>40</v>
      </c>
      <c r="F2" s="7" t="s">
        <v>34</v>
      </c>
      <c r="G2" s="10">
        <f>Инга!B3*1.05</f>
        <v>4462.5</v>
      </c>
      <c r="H2" s="7"/>
      <c r="I2" s="7" t="s">
        <v>33</v>
      </c>
      <c r="J2" s="8"/>
      <c r="K2" s="12">
        <f>Инга!$B$15</f>
        <v>44690</v>
      </c>
      <c r="L2" s="8"/>
      <c r="M2" s="8" t="s">
        <v>49</v>
      </c>
      <c r="N2" s="9">
        <v>45777</v>
      </c>
      <c r="O2" s="8" t="s">
        <v>51</v>
      </c>
      <c r="P2" s="6" t="str">
        <f>Инга!$A$10</f>
        <v xml:space="preserve"> 13.04, 15.04, 17.04, 19.04</v>
      </c>
    </row>
    <row r="3" spans="1:16" ht="27" x14ac:dyDescent="0.2">
      <c r="A3" s="7" t="s">
        <v>30</v>
      </c>
      <c r="B3" s="7" t="s">
        <v>31</v>
      </c>
      <c r="C3" s="7" t="s">
        <v>41</v>
      </c>
      <c r="D3" s="7" t="str">
        <f>Инга!A4</f>
        <v>SHANGHAI rate</v>
      </c>
      <c r="E3" s="7" t="s">
        <v>40</v>
      </c>
      <c r="F3" s="7" t="s">
        <v>34</v>
      </c>
      <c r="G3" s="10">
        <f>Инга!B4*1.05</f>
        <v>4462.5</v>
      </c>
      <c r="H3" s="7"/>
      <c r="I3" s="7" t="s">
        <v>33</v>
      </c>
      <c r="J3" s="8"/>
      <c r="K3" s="12">
        <f>Инга!$B$15</f>
        <v>44690</v>
      </c>
      <c r="L3" s="8"/>
      <c r="M3" s="8" t="s">
        <v>49</v>
      </c>
      <c r="N3" s="9">
        <v>45777</v>
      </c>
      <c r="O3" s="8" t="str">
        <f>$O$2</f>
        <v>18-20</v>
      </c>
      <c r="P3" s="6" t="str">
        <f>Инга!$A$10</f>
        <v xml:space="preserve"> 13.04, 15.04, 17.04, 19.04</v>
      </c>
    </row>
    <row r="4" spans="1:16" ht="27" x14ac:dyDescent="0.2">
      <c r="A4" s="7" t="s">
        <v>30</v>
      </c>
      <c r="B4" s="7" t="s">
        <v>31</v>
      </c>
      <c r="C4" s="7" t="s">
        <v>41</v>
      </c>
      <c r="D4" s="7" t="str">
        <f>Инга!A5</f>
        <v>QINGDAO rate</v>
      </c>
      <c r="E4" s="7" t="s">
        <v>40</v>
      </c>
      <c r="F4" s="7" t="s">
        <v>34</v>
      </c>
      <c r="G4" s="10">
        <f>Инга!B5*1.05</f>
        <v>4410</v>
      </c>
      <c r="H4" s="7"/>
      <c r="I4" s="7" t="s">
        <v>33</v>
      </c>
      <c r="J4" s="8"/>
      <c r="K4" s="12">
        <f>Инга!$B$15</f>
        <v>44690</v>
      </c>
      <c r="L4" s="8"/>
      <c r="M4" s="8" t="s">
        <v>49</v>
      </c>
      <c r="N4" s="9">
        <v>45777</v>
      </c>
      <c r="O4" s="8" t="str">
        <f t="shared" ref="O4:O12" si="0">$O$2</f>
        <v>18-20</v>
      </c>
      <c r="P4" s="6" t="str">
        <f>Инга!$A$10</f>
        <v xml:space="preserve"> 13.04, 15.04, 17.04, 19.04</v>
      </c>
    </row>
    <row r="5" spans="1:16" ht="27" x14ac:dyDescent="0.2">
      <c r="A5" s="7" t="s">
        <v>30</v>
      </c>
      <c r="B5" s="7" t="s">
        <v>31</v>
      </c>
      <c r="C5" s="7" t="s">
        <v>41</v>
      </c>
      <c r="D5" s="7" t="str">
        <f>Инга!A6</f>
        <v>TIANJIN rate</v>
      </c>
      <c r="E5" s="7" t="s">
        <v>40</v>
      </c>
      <c r="F5" s="7" t="s">
        <v>34</v>
      </c>
      <c r="G5" s="10">
        <f>Инга!B6*1.05</f>
        <v>4515</v>
      </c>
      <c r="H5" s="7"/>
      <c r="I5" s="7" t="s">
        <v>33</v>
      </c>
      <c r="J5" s="8"/>
      <c r="K5" s="12">
        <f>Инга!$B$15</f>
        <v>44690</v>
      </c>
      <c r="L5" s="8"/>
      <c r="M5" s="8" t="s">
        <v>49</v>
      </c>
      <c r="N5" s="9">
        <v>45777</v>
      </c>
      <c r="O5" s="8" t="str">
        <f t="shared" si="0"/>
        <v>18-20</v>
      </c>
      <c r="P5" s="6" t="str">
        <f>Инга!$A$10</f>
        <v xml:space="preserve"> 13.04, 15.04, 17.04, 19.04</v>
      </c>
    </row>
    <row r="6" spans="1:16" ht="27" x14ac:dyDescent="0.2">
      <c r="A6" s="7" t="s">
        <v>30</v>
      </c>
      <c r="B6" s="7" t="s">
        <v>31</v>
      </c>
      <c r="C6" s="7" t="s">
        <v>41</v>
      </c>
      <c r="D6" s="7" t="str">
        <f>Инга!A7</f>
        <v>GUANGZHOU rate</v>
      </c>
      <c r="E6" s="7" t="s">
        <v>40</v>
      </c>
      <c r="F6" s="7" t="s">
        <v>34</v>
      </c>
      <c r="G6" s="10">
        <f>Инга!B7*1.05</f>
        <v>4777.5</v>
      </c>
      <c r="H6" s="7"/>
      <c r="I6" s="7" t="s">
        <v>33</v>
      </c>
      <c r="J6" s="8"/>
      <c r="K6" s="12">
        <f>Инга!$B$15</f>
        <v>44690</v>
      </c>
      <c r="L6" s="8"/>
      <c r="M6" s="8" t="s">
        <v>49</v>
      </c>
      <c r="N6" s="9">
        <v>45777</v>
      </c>
      <c r="O6" s="8" t="str">
        <f t="shared" si="0"/>
        <v>18-20</v>
      </c>
      <c r="P6" s="6" t="str">
        <f>Инга!$A$10</f>
        <v xml:space="preserve"> 13.04, 15.04, 17.04, 19.04</v>
      </c>
    </row>
    <row r="7" spans="1:16" ht="17" x14ac:dyDescent="0.2">
      <c r="A7" s="7" t="s">
        <v>30</v>
      </c>
      <c r="B7" s="7" t="s">
        <v>31</v>
      </c>
      <c r="C7" s="7" t="s">
        <v>41</v>
      </c>
      <c r="D7" s="7" t="str">
        <f>Инга!A3</f>
        <v>NINGBO rate</v>
      </c>
      <c r="E7" s="7" t="s">
        <v>40</v>
      </c>
      <c r="F7" s="7" t="s">
        <v>35</v>
      </c>
      <c r="G7" s="10">
        <f>Инга!C3*1.05</f>
        <v>5932.5</v>
      </c>
      <c r="H7" s="7"/>
      <c r="I7" s="7" t="s">
        <v>42</v>
      </c>
      <c r="J7" s="8"/>
      <c r="K7" s="12"/>
      <c r="L7" s="8"/>
      <c r="M7" s="8" t="s">
        <v>49</v>
      </c>
      <c r="N7" s="9">
        <v>45777</v>
      </c>
      <c r="O7" s="8" t="s">
        <v>54</v>
      </c>
      <c r="P7" s="6" t="str">
        <f>Инга!$A$13</f>
        <v>21.04, 29.04</v>
      </c>
    </row>
    <row r="8" spans="1:16" ht="17" x14ac:dyDescent="0.2">
      <c r="A8" s="7" t="s">
        <v>30</v>
      </c>
      <c r="B8" s="7" t="s">
        <v>31</v>
      </c>
      <c r="C8" s="7" t="s">
        <v>41</v>
      </c>
      <c r="D8" s="7" t="str">
        <f>Инга!A4</f>
        <v>SHANGHAI rate</v>
      </c>
      <c r="E8" s="7" t="s">
        <v>40</v>
      </c>
      <c r="F8" s="7" t="s">
        <v>35</v>
      </c>
      <c r="G8" s="10">
        <f>Инга!C4*1.05</f>
        <v>5617.5</v>
      </c>
      <c r="H8" s="7"/>
      <c r="I8" s="7" t="s">
        <v>42</v>
      </c>
      <c r="J8" s="8"/>
      <c r="K8" s="12"/>
      <c r="L8" s="8"/>
      <c r="M8" s="8" t="s">
        <v>49</v>
      </c>
      <c r="N8" s="9">
        <v>45777</v>
      </c>
      <c r="O8" s="8" t="str">
        <f>$O$7</f>
        <v>20-25</v>
      </c>
      <c r="P8" s="6" t="str">
        <f>Инга!$A$13</f>
        <v>21.04, 29.04</v>
      </c>
    </row>
    <row r="9" spans="1:16" ht="17" x14ac:dyDescent="0.2">
      <c r="A9" s="7" t="s">
        <v>30</v>
      </c>
      <c r="B9" s="7" t="s">
        <v>31</v>
      </c>
      <c r="C9" s="7" t="s">
        <v>41</v>
      </c>
      <c r="D9" s="7" t="str">
        <f>Инга!A5</f>
        <v>QINGDAO rate</v>
      </c>
      <c r="E9" s="7" t="s">
        <v>40</v>
      </c>
      <c r="F9" s="7" t="s">
        <v>35</v>
      </c>
      <c r="G9" s="10">
        <f>Инга!C5*1.05</f>
        <v>5407.5</v>
      </c>
      <c r="H9" s="7"/>
      <c r="I9" s="7" t="s">
        <v>42</v>
      </c>
      <c r="J9" s="8"/>
      <c r="K9" s="12"/>
      <c r="L9" s="8"/>
      <c r="M9" s="8" t="s">
        <v>49</v>
      </c>
      <c r="N9" s="9">
        <v>45777</v>
      </c>
      <c r="O9" s="8" t="str">
        <f t="shared" ref="O9:O11" si="1">$O$7</f>
        <v>20-25</v>
      </c>
      <c r="P9" s="6" t="str">
        <f>Инга!$A$13</f>
        <v>21.04, 29.04</v>
      </c>
    </row>
    <row r="10" spans="1:16" ht="17" x14ac:dyDescent="0.2">
      <c r="A10" s="7" t="s">
        <v>30</v>
      </c>
      <c r="B10" s="7" t="s">
        <v>31</v>
      </c>
      <c r="C10" s="7" t="s">
        <v>41</v>
      </c>
      <c r="D10" s="7" t="str">
        <f>Инга!A6</f>
        <v>TIANJIN rate</v>
      </c>
      <c r="E10" s="7" t="s">
        <v>40</v>
      </c>
      <c r="F10" s="7" t="s">
        <v>35</v>
      </c>
      <c r="G10" s="10">
        <f>Инга!C6*1.05</f>
        <v>5617.5</v>
      </c>
      <c r="H10" s="7"/>
      <c r="I10" s="7" t="s">
        <v>42</v>
      </c>
      <c r="J10" s="8"/>
      <c r="K10" s="12"/>
      <c r="L10" s="8"/>
      <c r="M10" s="8" t="s">
        <v>49</v>
      </c>
      <c r="N10" s="9">
        <v>45777</v>
      </c>
      <c r="O10" s="8" t="str">
        <f t="shared" si="1"/>
        <v>20-25</v>
      </c>
      <c r="P10" s="6" t="str">
        <f>Инга!$A$13</f>
        <v>21.04, 29.04</v>
      </c>
    </row>
    <row r="11" spans="1:16" ht="17" x14ac:dyDescent="0.2">
      <c r="A11" s="7" t="s">
        <v>30</v>
      </c>
      <c r="B11" s="7" t="s">
        <v>31</v>
      </c>
      <c r="C11" s="7" t="s">
        <v>41</v>
      </c>
      <c r="D11" s="7" t="str">
        <f>Инга!A7</f>
        <v>GUANGZHOU rate</v>
      </c>
      <c r="E11" s="7" t="s">
        <v>40</v>
      </c>
      <c r="F11" s="7" t="s">
        <v>35</v>
      </c>
      <c r="G11" s="10">
        <f>Инга!C7*1.05</f>
        <v>5670</v>
      </c>
      <c r="H11" s="7"/>
      <c r="I11" s="7" t="s">
        <v>42</v>
      </c>
      <c r="J11" s="8"/>
      <c r="K11" s="12"/>
      <c r="L11" s="8"/>
      <c r="M11" s="8" t="s">
        <v>49</v>
      </c>
      <c r="N11" s="9">
        <v>45777</v>
      </c>
      <c r="O11" s="8" t="str">
        <f t="shared" si="1"/>
        <v>20-25</v>
      </c>
      <c r="P11" s="6" t="str">
        <f>Инга!$A$13</f>
        <v>21.04, 29.04</v>
      </c>
    </row>
    <row r="12" spans="1:16" ht="17" x14ac:dyDescent="0.2">
      <c r="A12" s="7" t="s">
        <v>30</v>
      </c>
      <c r="B12" s="7" t="s">
        <v>31</v>
      </c>
      <c r="C12" s="7" t="s">
        <v>41</v>
      </c>
      <c r="D12" s="7" t="str">
        <f>Инга!A4</f>
        <v>SHANGHAI rate</v>
      </c>
      <c r="E12" s="7" t="s">
        <v>40</v>
      </c>
      <c r="F12" s="7" t="s">
        <v>36</v>
      </c>
      <c r="G12" s="10">
        <f>Инга!D3*1.05</f>
        <v>4987.5</v>
      </c>
      <c r="H12" s="7"/>
      <c r="I12" s="7" t="s">
        <v>43</v>
      </c>
      <c r="J12" s="8"/>
      <c r="K12" s="12"/>
      <c r="L12" s="8"/>
      <c r="M12" s="8" t="s">
        <v>49</v>
      </c>
      <c r="N12" s="9">
        <v>45777</v>
      </c>
      <c r="O12" s="8" t="str">
        <f t="shared" si="0"/>
        <v>18-20</v>
      </c>
      <c r="P12" s="6" t="str">
        <f>Инга!$A$13</f>
        <v>21.04, 29.04</v>
      </c>
    </row>
    <row r="13" spans="1:16" ht="17" x14ac:dyDescent="0.2">
      <c r="A13" s="7" t="s">
        <v>30</v>
      </c>
      <c r="B13" s="7" t="s">
        <v>31</v>
      </c>
      <c r="C13" s="7" t="s">
        <v>41</v>
      </c>
      <c r="D13" s="7" t="str">
        <f>Инга!A5</f>
        <v>QINGDAO rate</v>
      </c>
      <c r="E13" s="7" t="s">
        <v>40</v>
      </c>
      <c r="F13" s="7" t="s">
        <v>36</v>
      </c>
      <c r="G13" s="10">
        <f>Инга!D4*1.05</f>
        <v>4672.5</v>
      </c>
      <c r="H13" s="7"/>
      <c r="I13" s="7" t="s">
        <v>43</v>
      </c>
      <c r="J13" s="8"/>
      <c r="K13" s="12"/>
      <c r="L13" s="8"/>
      <c r="M13" s="8" t="s">
        <v>49</v>
      </c>
      <c r="N13" s="9">
        <v>45777</v>
      </c>
      <c r="O13" s="8" t="s">
        <v>53</v>
      </c>
      <c r="P13" s="6" t="str">
        <f>Инга!$A$13</f>
        <v>21.04, 29.04</v>
      </c>
    </row>
    <row r="14" spans="1:16" ht="17" x14ac:dyDescent="0.2">
      <c r="A14" s="7" t="s">
        <v>30</v>
      </c>
      <c r="B14" s="7" t="s">
        <v>31</v>
      </c>
      <c r="C14" s="7" t="s">
        <v>41</v>
      </c>
      <c r="D14" s="7" t="str">
        <f>Инга!A6</f>
        <v>TIANJIN rate</v>
      </c>
      <c r="E14" s="7" t="s">
        <v>40</v>
      </c>
      <c r="F14" s="7" t="s">
        <v>36</v>
      </c>
      <c r="G14" s="10">
        <f>Инга!D5*1.05</f>
        <v>4462.5</v>
      </c>
      <c r="H14" s="7"/>
      <c r="I14" s="7" t="s">
        <v>43</v>
      </c>
      <c r="J14" s="8"/>
      <c r="K14" s="12"/>
      <c r="L14" s="8"/>
      <c r="M14" s="8" t="s">
        <v>49</v>
      </c>
      <c r="N14" s="9">
        <v>45777</v>
      </c>
      <c r="O14" s="8" t="str">
        <f>$O$13</f>
        <v>15-20</v>
      </c>
      <c r="P14" s="6" t="str">
        <f>Инга!$A$13</f>
        <v>21.04, 29.04</v>
      </c>
    </row>
    <row r="15" spans="1:16" ht="17" x14ac:dyDescent="0.2">
      <c r="A15" s="7" t="s">
        <v>30</v>
      </c>
      <c r="B15" s="7" t="s">
        <v>31</v>
      </c>
      <c r="C15" s="7" t="s">
        <v>41</v>
      </c>
      <c r="D15" s="7" t="str">
        <f>Инга!A7</f>
        <v>GUANGZHOU rate</v>
      </c>
      <c r="E15" s="7" t="s">
        <v>40</v>
      </c>
      <c r="F15" s="7" t="s">
        <v>36</v>
      </c>
      <c r="G15" s="10">
        <f>Инга!D6*1.05</f>
        <v>4672.5</v>
      </c>
      <c r="H15" s="7"/>
      <c r="I15" s="7" t="s">
        <v>43</v>
      </c>
      <c r="J15" s="8"/>
      <c r="K15" s="12"/>
      <c r="L15" s="8"/>
      <c r="M15" s="8" t="s">
        <v>49</v>
      </c>
      <c r="N15" s="9">
        <v>45777</v>
      </c>
      <c r="O15" s="8" t="str">
        <f t="shared" ref="O15:O21" si="2">$O$13</f>
        <v>15-20</v>
      </c>
      <c r="P15" s="6" t="str">
        <f>Инга!$A$13</f>
        <v>21.04, 29.04</v>
      </c>
    </row>
    <row r="16" spans="1:16" ht="17" x14ac:dyDescent="0.2">
      <c r="A16" s="7" t="s">
        <v>30</v>
      </c>
      <c r="B16" s="7" t="s">
        <v>31</v>
      </c>
      <c r="C16" s="7" t="s">
        <v>41</v>
      </c>
      <c r="D16" s="7" t="str">
        <f>Инга!A3</f>
        <v>NINGBO rate</v>
      </c>
      <c r="E16" s="7" t="s">
        <v>40</v>
      </c>
      <c r="F16" s="7" t="s">
        <v>36</v>
      </c>
      <c r="G16" s="10">
        <f>Инга!D7*1.05</f>
        <v>4777.5</v>
      </c>
      <c r="H16" s="7"/>
      <c r="I16" s="7" t="s">
        <v>43</v>
      </c>
      <c r="J16" s="8"/>
      <c r="K16" s="12"/>
      <c r="L16" s="8"/>
      <c r="M16" s="8" t="s">
        <v>49</v>
      </c>
      <c r="N16" s="9">
        <v>45777</v>
      </c>
      <c r="O16" s="8" t="str">
        <f t="shared" si="2"/>
        <v>15-20</v>
      </c>
      <c r="P16" s="6" t="str">
        <f>Инга!$A$13</f>
        <v>21.04, 29.04</v>
      </c>
    </row>
    <row r="17" spans="1:16" ht="34" x14ac:dyDescent="0.2">
      <c r="A17" s="7" t="s">
        <v>30</v>
      </c>
      <c r="B17" s="7" t="s">
        <v>31</v>
      </c>
      <c r="C17" s="7" t="s">
        <v>41</v>
      </c>
      <c r="D17" s="7" t="str">
        <f>Инга!A3</f>
        <v>NINGBO rate</v>
      </c>
      <c r="E17" s="7" t="s">
        <v>40</v>
      </c>
      <c r="F17" s="7" t="s">
        <v>37</v>
      </c>
      <c r="G17" s="10">
        <f>Инга!E3*1.05</f>
        <v>5407.5</v>
      </c>
      <c r="H17" s="7"/>
      <c r="I17" s="7" t="s">
        <v>55</v>
      </c>
      <c r="J17" s="8"/>
      <c r="K17" s="12"/>
      <c r="L17" s="8"/>
      <c r="M17" s="8" t="s">
        <v>49</v>
      </c>
      <c r="N17" s="9">
        <v>45777</v>
      </c>
      <c r="O17" s="8" t="str">
        <f t="shared" si="2"/>
        <v>15-20</v>
      </c>
      <c r="P17" s="6" t="str">
        <f>Инга!$A$13</f>
        <v>21.04, 29.04</v>
      </c>
    </row>
    <row r="18" spans="1:16" ht="34" x14ac:dyDescent="0.2">
      <c r="A18" s="7" t="s">
        <v>30</v>
      </c>
      <c r="B18" s="7" t="s">
        <v>31</v>
      </c>
      <c r="C18" s="7" t="s">
        <v>41</v>
      </c>
      <c r="D18" s="7" t="str">
        <f>Инга!A4</f>
        <v>SHANGHAI rate</v>
      </c>
      <c r="E18" s="7" t="s">
        <v>40</v>
      </c>
      <c r="F18" s="7" t="s">
        <v>37</v>
      </c>
      <c r="G18" s="10">
        <f>Инга!E4*1.05</f>
        <v>5092.5</v>
      </c>
      <c r="H18" s="7"/>
      <c r="I18" s="7" t="s">
        <v>55</v>
      </c>
      <c r="J18" s="8"/>
      <c r="K18" s="12"/>
      <c r="L18" s="8"/>
      <c r="M18" s="8" t="s">
        <v>49</v>
      </c>
      <c r="N18" s="9">
        <v>45777</v>
      </c>
      <c r="O18" s="8" t="str">
        <f t="shared" si="2"/>
        <v>15-20</v>
      </c>
      <c r="P18" s="6" t="str">
        <f>Инга!$A$13</f>
        <v>21.04, 29.04</v>
      </c>
    </row>
    <row r="19" spans="1:16" ht="34" x14ac:dyDescent="0.2">
      <c r="A19" s="7" t="s">
        <v>30</v>
      </c>
      <c r="B19" s="7" t="s">
        <v>31</v>
      </c>
      <c r="C19" s="7" t="s">
        <v>41</v>
      </c>
      <c r="D19" s="7" t="str">
        <f>Инга!A5</f>
        <v>QINGDAO rate</v>
      </c>
      <c r="E19" s="7" t="s">
        <v>40</v>
      </c>
      <c r="F19" s="7" t="s">
        <v>37</v>
      </c>
      <c r="G19" s="10">
        <f>Инга!E5*1.05</f>
        <v>4882.5</v>
      </c>
      <c r="H19" s="7"/>
      <c r="I19" s="7" t="s">
        <v>55</v>
      </c>
      <c r="J19" s="8"/>
      <c r="K19" s="12"/>
      <c r="L19" s="8"/>
      <c r="M19" s="8" t="s">
        <v>49</v>
      </c>
      <c r="N19" s="9">
        <v>45777</v>
      </c>
      <c r="O19" s="8" t="str">
        <f t="shared" si="2"/>
        <v>15-20</v>
      </c>
      <c r="P19" s="6" t="str">
        <f>Инга!$A$13</f>
        <v>21.04, 29.04</v>
      </c>
    </row>
    <row r="20" spans="1:16" ht="34" x14ac:dyDescent="0.2">
      <c r="A20" s="7" t="s">
        <v>30</v>
      </c>
      <c r="B20" s="7" t="s">
        <v>31</v>
      </c>
      <c r="C20" s="7" t="s">
        <v>41</v>
      </c>
      <c r="D20" s="7" t="str">
        <f>Инга!A6</f>
        <v>TIANJIN rate</v>
      </c>
      <c r="E20" s="7" t="s">
        <v>40</v>
      </c>
      <c r="F20" s="7" t="s">
        <v>37</v>
      </c>
      <c r="G20" s="10">
        <f>Инга!E6*1.05</f>
        <v>5092.5</v>
      </c>
      <c r="H20" s="7"/>
      <c r="I20" s="7" t="s">
        <v>55</v>
      </c>
      <c r="J20" s="8"/>
      <c r="K20" s="12"/>
      <c r="L20" s="8"/>
      <c r="M20" s="8" t="s">
        <v>49</v>
      </c>
      <c r="N20" s="9">
        <v>45777</v>
      </c>
      <c r="O20" s="8" t="str">
        <f t="shared" si="2"/>
        <v>15-20</v>
      </c>
      <c r="P20" s="6" t="str">
        <f>Инга!$A$13</f>
        <v>21.04, 29.04</v>
      </c>
    </row>
    <row r="21" spans="1:16" ht="34" x14ac:dyDescent="0.2">
      <c r="A21" s="7" t="s">
        <v>30</v>
      </c>
      <c r="B21" s="7" t="s">
        <v>31</v>
      </c>
      <c r="C21" s="7" t="s">
        <v>41</v>
      </c>
      <c r="D21" s="7" t="str">
        <f>Инга!A7</f>
        <v>GUANGZHOU rate</v>
      </c>
      <c r="E21" s="7" t="s">
        <v>40</v>
      </c>
      <c r="F21" s="7" t="s">
        <v>37</v>
      </c>
      <c r="G21" s="10">
        <f>Инга!E7*1.05</f>
        <v>5197.5</v>
      </c>
      <c r="H21" s="7"/>
      <c r="I21" s="7" t="s">
        <v>55</v>
      </c>
      <c r="J21" s="8"/>
      <c r="K21" s="12"/>
      <c r="L21" s="8"/>
      <c r="M21" s="8" t="s">
        <v>49</v>
      </c>
      <c r="N21" s="9">
        <v>45777</v>
      </c>
      <c r="O21" s="8" t="str">
        <f t="shared" si="2"/>
        <v>15-20</v>
      </c>
      <c r="P21" s="6" t="str">
        <f>Инга!$A$13</f>
        <v>21.04, 29.04</v>
      </c>
    </row>
    <row r="22" spans="1:16" ht="17" x14ac:dyDescent="0.2">
      <c r="A22" s="7" t="s">
        <v>30</v>
      </c>
      <c r="B22" s="7" t="s">
        <v>31</v>
      </c>
      <c r="C22" s="7" t="s">
        <v>41</v>
      </c>
      <c r="D22" s="7" t="str">
        <f>Инга!A3</f>
        <v>NINGBO rate</v>
      </c>
      <c r="E22" s="7" t="s">
        <v>40</v>
      </c>
      <c r="F22" s="7" t="s">
        <v>38</v>
      </c>
      <c r="G22" s="10">
        <f>Инга!F3*1.05</f>
        <v>7402.5</v>
      </c>
      <c r="H22" s="7"/>
      <c r="I22" s="7" t="s">
        <v>45</v>
      </c>
      <c r="J22" s="8"/>
      <c r="K22" s="12"/>
      <c r="L22" s="8"/>
      <c r="M22" s="8" t="s">
        <v>49</v>
      </c>
      <c r="N22" s="9">
        <v>45777</v>
      </c>
      <c r="O22" s="8" t="s">
        <v>52</v>
      </c>
      <c r="P22" s="6" t="str">
        <f>Инга!$A$13</f>
        <v>21.04, 29.04</v>
      </c>
    </row>
    <row r="23" spans="1:16" ht="17" x14ac:dyDescent="0.2">
      <c r="A23" s="7" t="s">
        <v>30</v>
      </c>
      <c r="B23" s="7" t="s">
        <v>31</v>
      </c>
      <c r="C23" s="7" t="s">
        <v>41</v>
      </c>
      <c r="D23" s="7" t="str">
        <f>Инга!A4</f>
        <v>SHANGHAI rate</v>
      </c>
      <c r="E23" s="7" t="s">
        <v>40</v>
      </c>
      <c r="F23" s="7" t="s">
        <v>38</v>
      </c>
      <c r="G23" s="10">
        <f>Инга!F4*1.05</f>
        <v>7192.5</v>
      </c>
      <c r="H23" s="7"/>
      <c r="I23" s="7" t="s">
        <v>45</v>
      </c>
      <c r="J23" s="8"/>
      <c r="K23" s="12"/>
      <c r="L23" s="8"/>
      <c r="M23" s="8" t="s">
        <v>49</v>
      </c>
      <c r="N23" s="9">
        <v>45777</v>
      </c>
      <c r="O23" s="8" t="str">
        <f>$O$22</f>
        <v>23-25</v>
      </c>
      <c r="P23" s="6" t="str">
        <f>Инга!$A$13</f>
        <v>21.04, 29.04</v>
      </c>
    </row>
    <row r="24" spans="1:16" ht="17" x14ac:dyDescent="0.2">
      <c r="A24" s="7" t="s">
        <v>30</v>
      </c>
      <c r="B24" s="7" t="s">
        <v>31</v>
      </c>
      <c r="C24" s="7" t="s">
        <v>41</v>
      </c>
      <c r="D24" s="7" t="str">
        <f>Инга!A5</f>
        <v>QINGDAO rate</v>
      </c>
      <c r="E24" s="7" t="s">
        <v>40</v>
      </c>
      <c r="F24" s="7" t="s">
        <v>38</v>
      </c>
      <c r="G24" s="10">
        <f>Инга!F5*1.05</f>
        <v>6877.5</v>
      </c>
      <c r="H24" s="7"/>
      <c r="I24" s="7" t="s">
        <v>45</v>
      </c>
      <c r="J24" s="8"/>
      <c r="K24" s="12"/>
      <c r="L24" s="8"/>
      <c r="M24" s="8" t="s">
        <v>49</v>
      </c>
      <c r="N24" s="9">
        <v>45777</v>
      </c>
      <c r="O24" s="8" t="str">
        <f t="shared" ref="O24:O31" si="3">$O$22</f>
        <v>23-25</v>
      </c>
      <c r="P24" s="6" t="str">
        <f>Инга!$A$13</f>
        <v>21.04, 29.04</v>
      </c>
    </row>
    <row r="25" spans="1:16" ht="17" x14ac:dyDescent="0.2">
      <c r="A25" s="7" t="s">
        <v>30</v>
      </c>
      <c r="B25" s="7" t="s">
        <v>31</v>
      </c>
      <c r="C25" s="7" t="s">
        <v>41</v>
      </c>
      <c r="D25" s="7" t="str">
        <f>Инга!A6</f>
        <v>TIANJIN rate</v>
      </c>
      <c r="E25" s="7" t="s">
        <v>40</v>
      </c>
      <c r="F25" s="7" t="s">
        <v>38</v>
      </c>
      <c r="G25" s="10">
        <f>Инга!F6*1.05</f>
        <v>7087.5</v>
      </c>
      <c r="H25" s="7"/>
      <c r="I25" s="7" t="s">
        <v>45</v>
      </c>
      <c r="J25" s="8"/>
      <c r="K25" s="12"/>
      <c r="L25" s="8"/>
      <c r="M25" s="8" t="s">
        <v>49</v>
      </c>
      <c r="N25" s="9">
        <v>45777</v>
      </c>
      <c r="O25" s="8" t="str">
        <f t="shared" si="3"/>
        <v>23-25</v>
      </c>
      <c r="P25" s="6" t="str">
        <f>Инга!$A$13</f>
        <v>21.04, 29.04</v>
      </c>
    </row>
    <row r="26" spans="1:16" ht="17" x14ac:dyDescent="0.2">
      <c r="A26" s="7" t="s">
        <v>30</v>
      </c>
      <c r="B26" s="7" t="s">
        <v>31</v>
      </c>
      <c r="C26" s="7" t="s">
        <v>41</v>
      </c>
      <c r="D26" s="7" t="str">
        <f>Инга!A7</f>
        <v>GUANGZHOU rate</v>
      </c>
      <c r="E26" s="7" t="s">
        <v>40</v>
      </c>
      <c r="F26" s="7" t="s">
        <v>38</v>
      </c>
      <c r="G26" s="10">
        <f>Инга!F7*1.05</f>
        <v>7297.5</v>
      </c>
      <c r="H26" s="7"/>
      <c r="I26" s="7" t="s">
        <v>45</v>
      </c>
      <c r="J26" s="8"/>
      <c r="K26" s="12"/>
      <c r="L26" s="8"/>
      <c r="M26" s="8" t="s">
        <v>49</v>
      </c>
      <c r="N26" s="9">
        <v>45777</v>
      </c>
      <c r="O26" s="8" t="str">
        <f t="shared" si="3"/>
        <v>23-25</v>
      </c>
      <c r="P26" s="6" t="str">
        <f>Инга!$A$13</f>
        <v>21.04, 29.04</v>
      </c>
    </row>
    <row r="27" spans="1:16" ht="34" x14ac:dyDescent="0.2">
      <c r="A27" s="7" t="s">
        <v>30</v>
      </c>
      <c r="B27" s="7" t="s">
        <v>31</v>
      </c>
      <c r="C27" s="7" t="s">
        <v>41</v>
      </c>
      <c r="D27" s="7" t="str">
        <f>Инга!A3</f>
        <v>NINGBO rate</v>
      </c>
      <c r="E27" s="7" t="s">
        <v>40</v>
      </c>
      <c r="F27" s="7" t="s">
        <v>39</v>
      </c>
      <c r="G27" s="10">
        <f>Инга!G3*1.05</f>
        <v>7507.5</v>
      </c>
      <c r="H27" s="7"/>
      <c r="I27" s="7" t="s">
        <v>48</v>
      </c>
      <c r="J27" s="8"/>
      <c r="K27" s="12"/>
      <c r="L27" s="8"/>
      <c r="M27" s="8" t="s">
        <v>49</v>
      </c>
      <c r="N27" s="9">
        <v>45777</v>
      </c>
      <c r="O27" s="8" t="str">
        <f t="shared" si="3"/>
        <v>23-25</v>
      </c>
      <c r="P27" s="6" t="str">
        <f>Инга!$A$13</f>
        <v>21.04, 29.04</v>
      </c>
    </row>
    <row r="28" spans="1:16" ht="34" x14ac:dyDescent="0.2">
      <c r="A28" s="7" t="s">
        <v>30</v>
      </c>
      <c r="B28" s="7" t="s">
        <v>31</v>
      </c>
      <c r="C28" s="7" t="s">
        <v>41</v>
      </c>
      <c r="D28" s="7" t="str">
        <f>Инга!A4</f>
        <v>SHANGHAI rate</v>
      </c>
      <c r="E28" s="7" t="s">
        <v>40</v>
      </c>
      <c r="F28" s="7" t="s">
        <v>39</v>
      </c>
      <c r="G28" s="10">
        <f>Инга!G4*1.05</f>
        <v>7297.5</v>
      </c>
      <c r="H28" s="7"/>
      <c r="I28" s="7" t="s">
        <v>48</v>
      </c>
      <c r="J28" s="8"/>
      <c r="K28" s="12"/>
      <c r="L28" s="8"/>
      <c r="M28" s="8" t="s">
        <v>49</v>
      </c>
      <c r="N28" s="9">
        <v>45777</v>
      </c>
      <c r="O28" s="8" t="str">
        <f t="shared" si="3"/>
        <v>23-25</v>
      </c>
      <c r="P28" s="6" t="str">
        <f>Инга!$A$13</f>
        <v>21.04, 29.04</v>
      </c>
    </row>
    <row r="29" spans="1:16" ht="34" x14ac:dyDescent="0.2">
      <c r="A29" s="7" t="s">
        <v>30</v>
      </c>
      <c r="B29" s="7" t="s">
        <v>31</v>
      </c>
      <c r="C29" s="7" t="s">
        <v>41</v>
      </c>
      <c r="D29" s="7" t="str">
        <f>Инга!A5</f>
        <v>QINGDAO rate</v>
      </c>
      <c r="E29" s="7" t="s">
        <v>40</v>
      </c>
      <c r="F29" s="7" t="s">
        <v>39</v>
      </c>
      <c r="G29" s="10">
        <f>Инга!G5*1.05</f>
        <v>6982.5</v>
      </c>
      <c r="H29" s="7"/>
      <c r="I29" s="7" t="s">
        <v>48</v>
      </c>
      <c r="J29" s="8"/>
      <c r="K29" s="12"/>
      <c r="L29" s="8"/>
      <c r="M29" s="8" t="s">
        <v>49</v>
      </c>
      <c r="N29" s="9">
        <v>45777</v>
      </c>
      <c r="O29" s="8" t="str">
        <f t="shared" si="3"/>
        <v>23-25</v>
      </c>
      <c r="P29" s="6" t="str">
        <f>Инга!$A$13</f>
        <v>21.04, 29.04</v>
      </c>
    </row>
    <row r="30" spans="1:16" ht="34" x14ac:dyDescent="0.2">
      <c r="A30" s="7" t="s">
        <v>30</v>
      </c>
      <c r="B30" s="7" t="s">
        <v>31</v>
      </c>
      <c r="C30" s="7" t="s">
        <v>41</v>
      </c>
      <c r="D30" s="7" t="str">
        <f>Инга!A6</f>
        <v>TIANJIN rate</v>
      </c>
      <c r="E30" s="7" t="s">
        <v>40</v>
      </c>
      <c r="F30" s="7" t="s">
        <v>39</v>
      </c>
      <c r="G30" s="10">
        <f>Инга!G6*1.05</f>
        <v>7192.5</v>
      </c>
      <c r="H30" s="7"/>
      <c r="I30" s="7" t="s">
        <v>48</v>
      </c>
      <c r="J30" s="8"/>
      <c r="K30" s="12"/>
      <c r="L30" s="8"/>
      <c r="M30" s="8" t="s">
        <v>49</v>
      </c>
      <c r="N30" s="9">
        <v>45777</v>
      </c>
      <c r="O30" s="8" t="str">
        <f t="shared" si="3"/>
        <v>23-25</v>
      </c>
      <c r="P30" s="6" t="str">
        <f>Инга!$A$13</f>
        <v>21.04, 29.04</v>
      </c>
    </row>
    <row r="31" spans="1:16" ht="34" x14ac:dyDescent="0.2">
      <c r="A31" s="7" t="s">
        <v>30</v>
      </c>
      <c r="B31" s="7" t="s">
        <v>31</v>
      </c>
      <c r="C31" s="7" t="s">
        <v>41</v>
      </c>
      <c r="D31" s="7" t="str">
        <f>Инга!A7</f>
        <v>GUANGZHOU rate</v>
      </c>
      <c r="E31" s="7" t="s">
        <v>40</v>
      </c>
      <c r="F31" s="7" t="s">
        <v>39</v>
      </c>
      <c r="G31" s="10">
        <f>Инга!G7*1.05</f>
        <v>7402.5</v>
      </c>
      <c r="H31" s="7"/>
      <c r="I31" s="7" t="s">
        <v>48</v>
      </c>
      <c r="J31" s="8"/>
      <c r="K31" s="12"/>
      <c r="L31" s="8"/>
      <c r="M31" s="8" t="s">
        <v>49</v>
      </c>
      <c r="N31" s="9">
        <v>45777</v>
      </c>
      <c r="O31" s="8" t="str">
        <f t="shared" si="3"/>
        <v>23-25</v>
      </c>
      <c r="P31" s="6" t="str">
        <f>Инга!$A$13</f>
        <v>21.04, 29.04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Инга</vt:lpstr>
      <vt:lpstr>для калькулятора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2025-04-10T22:22:12Z</dcterms:created>
  <dcterms:modified xsi:type="dcterms:W3CDTF">2025-04-14T05:58:28Z</dcterms:modified>
</cp:coreProperties>
</file>