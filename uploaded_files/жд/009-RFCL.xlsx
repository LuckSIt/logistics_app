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katerinabarbasina/Desktop/калькулятор ставок/"/>
    </mc:Choice>
  </mc:AlternateContent>
  <xr:revisionPtr revIDLastSave="0" documentId="13_ncr:1_{A970C28D-381B-C041-9B93-E04CE68B56F2}" xr6:coauthVersionLast="47" xr6:coauthVersionMax="47" xr10:uidLastSave="{00000000-0000-0000-0000-000000000000}"/>
  <bookViews>
    <workbookView xWindow="0" yWindow="0" windowWidth="33600" windowHeight="21000" activeTab="1" xr2:uid="{D950F28D-85CD-CE4A-AA46-62965065C7FD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2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C85" i="2"/>
  <c r="C31" i="2"/>
  <c r="F31" i="2"/>
  <c r="H31" i="2"/>
  <c r="C32" i="2"/>
  <c r="F32" i="2"/>
  <c r="H32" i="2"/>
  <c r="C33" i="2"/>
  <c r="F33" i="2"/>
  <c r="H33" i="2"/>
  <c r="C34" i="2"/>
  <c r="F34" i="2"/>
  <c r="H34" i="2"/>
  <c r="C35" i="2"/>
  <c r="F35" i="2"/>
  <c r="H35" i="2"/>
  <c r="C36" i="2"/>
  <c r="F36" i="2"/>
  <c r="H36" i="2"/>
  <c r="C37" i="2"/>
  <c r="F37" i="2"/>
  <c r="H37" i="2"/>
  <c r="C38" i="2"/>
  <c r="F38" i="2"/>
  <c r="H38" i="2"/>
  <c r="C39" i="2"/>
  <c r="F39" i="2"/>
  <c r="H39" i="2"/>
  <c r="C40" i="2"/>
  <c r="F40" i="2"/>
  <c r="H40" i="2"/>
  <c r="C41" i="2"/>
  <c r="F41" i="2"/>
  <c r="H41" i="2"/>
  <c r="C42" i="2"/>
  <c r="F42" i="2"/>
  <c r="H42" i="2"/>
  <c r="C43" i="2"/>
  <c r="F43" i="2"/>
  <c r="H43" i="2"/>
  <c r="C44" i="2"/>
  <c r="F44" i="2"/>
  <c r="H44" i="2"/>
  <c r="C45" i="2"/>
  <c r="F45" i="2"/>
  <c r="H45" i="2"/>
  <c r="C46" i="2"/>
  <c r="F46" i="2"/>
  <c r="H46" i="2"/>
  <c r="C47" i="2"/>
  <c r="F47" i="2"/>
  <c r="H47" i="2"/>
  <c r="C48" i="2"/>
  <c r="F48" i="2"/>
  <c r="H48" i="2"/>
  <c r="C49" i="2"/>
  <c r="F49" i="2"/>
  <c r="H49" i="2"/>
  <c r="C50" i="2"/>
  <c r="F50" i="2"/>
  <c r="H50" i="2"/>
  <c r="C51" i="2"/>
  <c r="F51" i="2"/>
  <c r="H51" i="2"/>
  <c r="C52" i="2"/>
  <c r="F52" i="2"/>
  <c r="H52" i="2"/>
  <c r="C53" i="2"/>
  <c r="F53" i="2"/>
  <c r="H53" i="2"/>
  <c r="C54" i="2"/>
  <c r="F54" i="2"/>
  <c r="H54" i="2"/>
  <c r="C55" i="2"/>
  <c r="F55" i="2"/>
  <c r="H55" i="2"/>
  <c r="C56" i="2"/>
  <c r="F56" i="2"/>
  <c r="F84" i="2" s="1"/>
  <c r="H56" i="2"/>
  <c r="C57" i="2"/>
  <c r="F57" i="2"/>
  <c r="F85" i="2" s="1"/>
  <c r="H57" i="2"/>
  <c r="H85" i="2" s="1"/>
  <c r="C59" i="2"/>
  <c r="F59" i="2"/>
  <c r="H59" i="2"/>
  <c r="C60" i="2"/>
  <c r="F60" i="2"/>
  <c r="H60" i="2"/>
  <c r="C61" i="2"/>
  <c r="F61" i="2"/>
  <c r="H61" i="2"/>
  <c r="C62" i="2"/>
  <c r="F62" i="2"/>
  <c r="H62" i="2"/>
  <c r="C63" i="2"/>
  <c r="F63" i="2"/>
  <c r="H63" i="2"/>
  <c r="C64" i="2"/>
  <c r="F64" i="2"/>
  <c r="H64" i="2"/>
  <c r="C65" i="2"/>
  <c r="F65" i="2"/>
  <c r="H65" i="2"/>
  <c r="C66" i="2"/>
  <c r="F66" i="2"/>
  <c r="H66" i="2"/>
  <c r="C67" i="2"/>
  <c r="F67" i="2"/>
  <c r="H67" i="2"/>
  <c r="C68" i="2"/>
  <c r="F68" i="2"/>
  <c r="H68" i="2"/>
  <c r="C69" i="2"/>
  <c r="F69" i="2"/>
  <c r="H69" i="2"/>
  <c r="C70" i="2"/>
  <c r="F70" i="2"/>
  <c r="H70" i="2"/>
  <c r="C71" i="2"/>
  <c r="F71" i="2"/>
  <c r="H71" i="2"/>
  <c r="C72" i="2"/>
  <c r="F72" i="2"/>
  <c r="H72" i="2"/>
  <c r="C73" i="2"/>
  <c r="F73" i="2"/>
  <c r="H73" i="2"/>
  <c r="C74" i="2"/>
  <c r="F74" i="2"/>
  <c r="H74" i="2"/>
  <c r="C75" i="2"/>
  <c r="F75" i="2"/>
  <c r="H75" i="2"/>
  <c r="C76" i="2"/>
  <c r="F76" i="2"/>
  <c r="H76" i="2"/>
  <c r="C77" i="2"/>
  <c r="F77" i="2"/>
  <c r="H77" i="2"/>
  <c r="C78" i="2"/>
  <c r="F78" i="2"/>
  <c r="H78" i="2"/>
  <c r="C79" i="2"/>
  <c r="F79" i="2"/>
  <c r="H79" i="2"/>
  <c r="C80" i="2"/>
  <c r="F80" i="2"/>
  <c r="H80" i="2"/>
  <c r="C81" i="2"/>
  <c r="F81" i="2"/>
  <c r="H81" i="2"/>
  <c r="C82" i="2"/>
  <c r="F82" i="2"/>
  <c r="H82" i="2"/>
  <c r="C83" i="2"/>
  <c r="F83" i="2"/>
  <c r="H83" i="2"/>
  <c r="C84" i="2"/>
  <c r="H84" i="2"/>
  <c r="P45" i="2"/>
  <c r="P73" i="2" s="1"/>
  <c r="P46" i="2"/>
  <c r="P74" i="2" s="1"/>
  <c r="P52" i="2"/>
  <c r="P80" i="2" s="1"/>
  <c r="P53" i="2"/>
  <c r="P81" i="2" s="1"/>
  <c r="P54" i="2"/>
  <c r="P82" i="2" s="1"/>
  <c r="P60" i="2"/>
  <c r="P62" i="2"/>
  <c r="P32" i="2"/>
  <c r="P33" i="2"/>
  <c r="P61" i="2" s="1"/>
  <c r="P34" i="2"/>
  <c r="P35" i="2"/>
  <c r="P63" i="2" s="1"/>
  <c r="P40" i="2"/>
  <c r="P68" i="2" s="1"/>
  <c r="C30" i="2"/>
  <c r="C58" i="2" s="1"/>
  <c r="F30" i="2"/>
  <c r="F58" i="2" s="1"/>
  <c r="H30" i="2"/>
  <c r="H58" i="2" s="1"/>
  <c r="I30" i="2"/>
  <c r="I58" i="2" s="1"/>
  <c r="O30" i="2"/>
  <c r="A30" i="2"/>
  <c r="A58" i="2" s="1"/>
  <c r="E3" i="2"/>
  <c r="E31" i="2" s="1"/>
  <c r="E59" i="2" s="1"/>
  <c r="E4" i="2"/>
  <c r="E32" i="2" s="1"/>
  <c r="E60" i="2" s="1"/>
  <c r="E5" i="2"/>
  <c r="E33" i="2" s="1"/>
  <c r="E61" i="2" s="1"/>
  <c r="E6" i="2"/>
  <c r="E34" i="2" s="1"/>
  <c r="E62" i="2" s="1"/>
  <c r="E7" i="2"/>
  <c r="E35" i="2" s="1"/>
  <c r="E63" i="2" s="1"/>
  <c r="E8" i="2"/>
  <c r="E36" i="2" s="1"/>
  <c r="E64" i="2" s="1"/>
  <c r="E9" i="2"/>
  <c r="E37" i="2" s="1"/>
  <c r="E65" i="2" s="1"/>
  <c r="E10" i="2"/>
  <c r="E38" i="2" s="1"/>
  <c r="E66" i="2" s="1"/>
  <c r="E11" i="2"/>
  <c r="E39" i="2" s="1"/>
  <c r="E67" i="2" s="1"/>
  <c r="E12" i="2"/>
  <c r="E40" i="2" s="1"/>
  <c r="E68" i="2" s="1"/>
  <c r="E13" i="2"/>
  <c r="E41" i="2" s="1"/>
  <c r="E69" i="2" s="1"/>
  <c r="E14" i="2"/>
  <c r="E42" i="2" s="1"/>
  <c r="E70" i="2" s="1"/>
  <c r="E15" i="2"/>
  <c r="E43" i="2" s="1"/>
  <c r="E71" i="2" s="1"/>
  <c r="E16" i="2"/>
  <c r="E44" i="2" s="1"/>
  <c r="E72" i="2" s="1"/>
  <c r="E17" i="2"/>
  <c r="E45" i="2" s="1"/>
  <c r="E73" i="2" s="1"/>
  <c r="E18" i="2"/>
  <c r="E46" i="2" s="1"/>
  <c r="E74" i="2" s="1"/>
  <c r="E19" i="2"/>
  <c r="E47" i="2" s="1"/>
  <c r="E75" i="2" s="1"/>
  <c r="E20" i="2"/>
  <c r="E48" i="2" s="1"/>
  <c r="E76" i="2" s="1"/>
  <c r="E21" i="2"/>
  <c r="E49" i="2" s="1"/>
  <c r="E77" i="2" s="1"/>
  <c r="E22" i="2"/>
  <c r="E50" i="2" s="1"/>
  <c r="E78" i="2" s="1"/>
  <c r="E23" i="2"/>
  <c r="E51" i="2" s="1"/>
  <c r="E79" i="2" s="1"/>
  <c r="E24" i="2"/>
  <c r="E52" i="2" s="1"/>
  <c r="E80" i="2" s="1"/>
  <c r="E25" i="2"/>
  <c r="E53" i="2" s="1"/>
  <c r="E81" i="2" s="1"/>
  <c r="E26" i="2"/>
  <c r="E54" i="2" s="1"/>
  <c r="E82" i="2" s="1"/>
  <c r="E27" i="2"/>
  <c r="E55" i="2" s="1"/>
  <c r="E83" i="2" s="1"/>
  <c r="E28" i="2"/>
  <c r="E56" i="2" s="1"/>
  <c r="E84" i="2" s="1"/>
  <c r="E29" i="2"/>
  <c r="E57" i="2" s="1"/>
  <c r="E85" i="2" s="1"/>
  <c r="E2" i="2"/>
  <c r="E30" i="2" s="1"/>
  <c r="E58" i="2" s="1"/>
  <c r="P9" i="2"/>
  <c r="P37" i="2" s="1"/>
  <c r="P65" i="2" s="1"/>
  <c r="P10" i="2"/>
  <c r="P38" i="2" s="1"/>
  <c r="P66" i="2" s="1"/>
  <c r="P11" i="2"/>
  <c r="P39" i="2" s="1"/>
  <c r="P67" i="2" s="1"/>
  <c r="P8" i="2"/>
  <c r="P36" i="2" s="1"/>
  <c r="P64" i="2" s="1"/>
  <c r="P13" i="2"/>
  <c r="P41" i="2" s="1"/>
  <c r="P69" i="2" s="1"/>
  <c r="P14" i="2"/>
  <c r="P42" i="2" s="1"/>
  <c r="P70" i="2" s="1"/>
  <c r="P15" i="2"/>
  <c r="P43" i="2" s="1"/>
  <c r="P71" i="2" s="1"/>
  <c r="P12" i="2"/>
  <c r="P17" i="2"/>
  <c r="P18" i="2"/>
  <c r="P19" i="2"/>
  <c r="P47" i="2" s="1"/>
  <c r="P75" i="2" s="1"/>
  <c r="P20" i="2"/>
  <c r="P48" i="2" s="1"/>
  <c r="P76" i="2" s="1"/>
  <c r="P21" i="2"/>
  <c r="P49" i="2" s="1"/>
  <c r="P77" i="2" s="1"/>
  <c r="P16" i="2"/>
  <c r="P44" i="2" s="1"/>
  <c r="P72" i="2" s="1"/>
  <c r="P23" i="2"/>
  <c r="P51" i="2" s="1"/>
  <c r="P79" i="2" s="1"/>
  <c r="P24" i="2"/>
  <c r="P25" i="2"/>
  <c r="P22" i="2"/>
  <c r="P50" i="2" s="1"/>
  <c r="P78" i="2" s="1"/>
  <c r="P27" i="2"/>
  <c r="P55" i="2" s="1"/>
  <c r="P83" i="2" s="1"/>
  <c r="P28" i="2"/>
  <c r="P56" i="2" s="1"/>
  <c r="P84" i="2" s="1"/>
  <c r="P29" i="2"/>
  <c r="P57" i="2" s="1"/>
  <c r="P85" i="2" s="1"/>
  <c r="P26" i="2"/>
  <c r="P3" i="2"/>
  <c r="P31" i="2" s="1"/>
  <c r="P59" i="2" s="1"/>
  <c r="P4" i="2"/>
  <c r="P5" i="2"/>
  <c r="P6" i="2"/>
  <c r="P7" i="2"/>
  <c r="P2" i="2"/>
  <c r="N3" i="2" s="1"/>
  <c r="N31" i="2" s="1"/>
  <c r="N59" i="2" s="1"/>
  <c r="I27" i="2"/>
  <c r="I55" i="2" s="1"/>
  <c r="I83" i="2" s="1"/>
  <c r="I28" i="2"/>
  <c r="I56" i="2" s="1"/>
  <c r="I84" i="2" s="1"/>
  <c r="I29" i="2"/>
  <c r="I57" i="2" s="1"/>
  <c r="I85" i="2" s="1"/>
  <c r="I26" i="2"/>
  <c r="I54" i="2" s="1"/>
  <c r="I82" i="2" s="1"/>
  <c r="I23" i="2"/>
  <c r="I51" i="2" s="1"/>
  <c r="I79" i="2" s="1"/>
  <c r="I24" i="2"/>
  <c r="I52" i="2" s="1"/>
  <c r="I80" i="2" s="1"/>
  <c r="I25" i="2"/>
  <c r="I53" i="2" s="1"/>
  <c r="I81" i="2" s="1"/>
  <c r="I22" i="2"/>
  <c r="I50" i="2" s="1"/>
  <c r="I78" i="2" s="1"/>
  <c r="I16" i="2"/>
  <c r="I44" i="2" s="1"/>
  <c r="I72" i="2" s="1"/>
  <c r="I13" i="2"/>
  <c r="I41" i="2" s="1"/>
  <c r="I69" i="2" s="1"/>
  <c r="I14" i="2"/>
  <c r="I42" i="2" s="1"/>
  <c r="I70" i="2" s="1"/>
  <c r="I15" i="2"/>
  <c r="I43" i="2" s="1"/>
  <c r="I71" i="2" s="1"/>
  <c r="I12" i="2"/>
  <c r="I40" i="2" s="1"/>
  <c r="I68" i="2" s="1"/>
  <c r="I9" i="2"/>
  <c r="I37" i="2" s="1"/>
  <c r="I65" i="2" s="1"/>
  <c r="I10" i="2"/>
  <c r="I38" i="2" s="1"/>
  <c r="I66" i="2" s="1"/>
  <c r="I11" i="2"/>
  <c r="I39" i="2" s="1"/>
  <c r="I67" i="2" s="1"/>
  <c r="I17" i="2"/>
  <c r="I45" i="2" s="1"/>
  <c r="I73" i="2" s="1"/>
  <c r="I18" i="2"/>
  <c r="I46" i="2" s="1"/>
  <c r="I74" i="2" s="1"/>
  <c r="I19" i="2"/>
  <c r="I47" i="2" s="1"/>
  <c r="I75" i="2" s="1"/>
  <c r="I20" i="2"/>
  <c r="I48" i="2" s="1"/>
  <c r="I76" i="2" s="1"/>
  <c r="I21" i="2"/>
  <c r="I49" i="2" s="1"/>
  <c r="I77" i="2" s="1"/>
  <c r="I8" i="2"/>
  <c r="I36" i="2" s="1"/>
  <c r="I64" i="2" s="1"/>
  <c r="I3" i="2"/>
  <c r="I31" i="2" s="1"/>
  <c r="I59" i="2" s="1"/>
  <c r="I4" i="2"/>
  <c r="I32" i="2" s="1"/>
  <c r="I60" i="2" s="1"/>
  <c r="I5" i="2"/>
  <c r="I33" i="2" s="1"/>
  <c r="I61" i="2" s="1"/>
  <c r="I6" i="2"/>
  <c r="I34" i="2" s="1"/>
  <c r="I62" i="2" s="1"/>
  <c r="I7" i="2"/>
  <c r="I35" i="2" s="1"/>
  <c r="I63" i="2" s="1"/>
  <c r="I2" i="2"/>
  <c r="G3" i="2"/>
  <c r="G59" i="2" s="1"/>
  <c r="G4" i="2"/>
  <c r="G60" i="2" s="1"/>
  <c r="G5" i="2"/>
  <c r="G61" i="2" s="1"/>
  <c r="G6" i="2"/>
  <c r="G62" i="2" s="1"/>
  <c r="G7" i="2"/>
  <c r="G63" i="2" s="1"/>
  <c r="G8" i="2"/>
  <c r="G36" i="2" s="1"/>
  <c r="G9" i="2"/>
  <c r="G37" i="2" s="1"/>
  <c r="G10" i="2"/>
  <c r="G38" i="2" s="1"/>
  <c r="G11" i="2"/>
  <c r="G67" i="2" s="1"/>
  <c r="G12" i="2"/>
  <c r="G68" i="2" s="1"/>
  <c r="G13" i="2"/>
  <c r="G69" i="2" s="1"/>
  <c r="G14" i="2"/>
  <c r="G70" i="2" s="1"/>
  <c r="G15" i="2"/>
  <c r="G71" i="2" s="1"/>
  <c r="G16" i="2"/>
  <c r="G44" i="2" s="1"/>
  <c r="G17" i="2"/>
  <c r="G45" i="2" s="1"/>
  <c r="G18" i="2"/>
  <c r="G46" i="2" s="1"/>
  <c r="G19" i="2"/>
  <c r="G75" i="2" s="1"/>
  <c r="G20" i="2"/>
  <c r="G76" i="2" s="1"/>
  <c r="G21" i="2"/>
  <c r="G77" i="2" s="1"/>
  <c r="G22" i="2"/>
  <c r="G78" i="2" s="1"/>
  <c r="G23" i="2"/>
  <c r="G79" i="2" s="1"/>
  <c r="G24" i="2"/>
  <c r="G52" i="2" s="1"/>
  <c r="G25" i="2"/>
  <c r="G53" i="2" s="1"/>
  <c r="G26" i="2"/>
  <c r="G54" i="2" s="1"/>
  <c r="G27" i="2"/>
  <c r="G83" i="2" s="1"/>
  <c r="G28" i="2"/>
  <c r="G84" i="2" s="1"/>
  <c r="G29" i="2"/>
  <c r="G85" i="2" s="1"/>
  <c r="G2" i="2"/>
  <c r="G58" i="2" s="1"/>
  <c r="D3" i="2"/>
  <c r="D31" i="2" s="1"/>
  <c r="D59" i="2" s="1"/>
  <c r="D4" i="2"/>
  <c r="D32" i="2" s="1"/>
  <c r="D60" i="2" s="1"/>
  <c r="D5" i="2"/>
  <c r="D33" i="2" s="1"/>
  <c r="D61" i="2" s="1"/>
  <c r="D6" i="2"/>
  <c r="D34" i="2" s="1"/>
  <c r="D62" i="2" s="1"/>
  <c r="D7" i="2"/>
  <c r="D35" i="2" s="1"/>
  <c r="D63" i="2" s="1"/>
  <c r="D8" i="2"/>
  <c r="D36" i="2" s="1"/>
  <c r="D64" i="2" s="1"/>
  <c r="D9" i="2"/>
  <c r="D37" i="2" s="1"/>
  <c r="D65" i="2" s="1"/>
  <c r="D10" i="2"/>
  <c r="D38" i="2" s="1"/>
  <c r="D66" i="2" s="1"/>
  <c r="D11" i="2"/>
  <c r="D39" i="2" s="1"/>
  <c r="D67" i="2" s="1"/>
  <c r="D12" i="2"/>
  <c r="D40" i="2" s="1"/>
  <c r="D68" i="2" s="1"/>
  <c r="D13" i="2"/>
  <c r="D41" i="2" s="1"/>
  <c r="D69" i="2" s="1"/>
  <c r="D14" i="2"/>
  <c r="D42" i="2" s="1"/>
  <c r="D70" i="2" s="1"/>
  <c r="D15" i="2"/>
  <c r="D43" i="2" s="1"/>
  <c r="D71" i="2" s="1"/>
  <c r="D16" i="2"/>
  <c r="D44" i="2" s="1"/>
  <c r="D72" i="2" s="1"/>
  <c r="D17" i="2"/>
  <c r="D45" i="2" s="1"/>
  <c r="D73" i="2" s="1"/>
  <c r="D18" i="2"/>
  <c r="D46" i="2" s="1"/>
  <c r="D74" i="2" s="1"/>
  <c r="D19" i="2"/>
  <c r="D47" i="2" s="1"/>
  <c r="D75" i="2" s="1"/>
  <c r="D20" i="2"/>
  <c r="D48" i="2" s="1"/>
  <c r="D76" i="2" s="1"/>
  <c r="D21" i="2"/>
  <c r="D49" i="2" s="1"/>
  <c r="D77" i="2" s="1"/>
  <c r="D22" i="2"/>
  <c r="D50" i="2" s="1"/>
  <c r="D78" i="2" s="1"/>
  <c r="D23" i="2"/>
  <c r="D51" i="2" s="1"/>
  <c r="D79" i="2" s="1"/>
  <c r="D24" i="2"/>
  <c r="D52" i="2" s="1"/>
  <c r="D80" i="2" s="1"/>
  <c r="D25" i="2"/>
  <c r="D53" i="2" s="1"/>
  <c r="D81" i="2" s="1"/>
  <c r="D26" i="2"/>
  <c r="D54" i="2" s="1"/>
  <c r="D82" i="2" s="1"/>
  <c r="D27" i="2"/>
  <c r="D55" i="2" s="1"/>
  <c r="D83" i="2" s="1"/>
  <c r="D28" i="2"/>
  <c r="D56" i="2" s="1"/>
  <c r="D84" i="2" s="1"/>
  <c r="D29" i="2"/>
  <c r="D57" i="2" s="1"/>
  <c r="D85" i="2" s="1"/>
  <c r="D2" i="2"/>
  <c r="D30" i="2" s="1"/>
  <c r="D58" i="2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2" i="2"/>
  <c r="G51" i="2" l="1"/>
  <c r="G43" i="2"/>
  <c r="G35" i="2"/>
  <c r="G82" i="2"/>
  <c r="G74" i="2"/>
  <c r="G66" i="2"/>
  <c r="G50" i="2"/>
  <c r="G42" i="2"/>
  <c r="G34" i="2"/>
  <c r="G81" i="2"/>
  <c r="G73" i="2"/>
  <c r="G65" i="2"/>
  <c r="G30" i="2"/>
  <c r="G57" i="2"/>
  <c r="G55" i="2"/>
  <c r="G49" i="2"/>
  <c r="G41" i="2"/>
  <c r="G33" i="2"/>
  <c r="G80" i="2"/>
  <c r="G72" i="2"/>
  <c r="G64" i="2"/>
  <c r="G48" i="2"/>
  <c r="G40" i="2"/>
  <c r="G32" i="2"/>
  <c r="P30" i="2"/>
  <c r="P58" i="2" s="1"/>
  <c r="G47" i="2"/>
  <c r="G39" i="2"/>
  <c r="G31" i="2"/>
  <c r="G56" i="2"/>
  <c r="N24" i="2"/>
  <c r="N52" i="2" s="1"/>
  <c r="N80" i="2" s="1"/>
  <c r="N11" i="2"/>
  <c r="N39" i="2" s="1"/>
  <c r="N67" i="2" s="1"/>
  <c r="N27" i="2"/>
  <c r="N55" i="2" s="1"/>
  <c r="N83" i="2" s="1"/>
  <c r="N25" i="2"/>
  <c r="N53" i="2" s="1"/>
  <c r="N81" i="2" s="1"/>
  <c r="N20" i="2"/>
  <c r="N48" i="2" s="1"/>
  <c r="N76" i="2" s="1"/>
  <c r="N18" i="2"/>
  <c r="N46" i="2" s="1"/>
  <c r="N74" i="2" s="1"/>
  <c r="N17" i="2"/>
  <c r="N45" i="2" s="1"/>
  <c r="N73" i="2" s="1"/>
  <c r="N13" i="2"/>
  <c r="N41" i="2" s="1"/>
  <c r="N69" i="2" s="1"/>
  <c r="N2" i="2"/>
  <c r="N30" i="2" s="1"/>
  <c r="N58" i="2" s="1"/>
  <c r="N22" i="2"/>
  <c r="N50" i="2" s="1"/>
  <c r="N78" i="2" s="1"/>
  <c r="N9" i="2"/>
  <c r="N37" i="2" s="1"/>
  <c r="N65" i="2" s="1"/>
  <c r="N29" i="2"/>
  <c r="N57" i="2" s="1"/>
  <c r="N85" i="2" s="1"/>
  <c r="N15" i="2"/>
  <c r="N43" i="2" s="1"/>
  <c r="N71" i="2" s="1"/>
  <c r="N8" i="2"/>
  <c r="N36" i="2" s="1"/>
  <c r="N64" i="2" s="1"/>
  <c r="N28" i="2"/>
  <c r="N56" i="2" s="1"/>
  <c r="N84" i="2" s="1"/>
  <c r="N21" i="2"/>
  <c r="N49" i="2" s="1"/>
  <c r="N77" i="2" s="1"/>
  <c r="N14" i="2"/>
  <c r="N42" i="2" s="1"/>
  <c r="N70" i="2" s="1"/>
  <c r="N7" i="2"/>
  <c r="N35" i="2" s="1"/>
  <c r="N63" i="2" s="1"/>
  <c r="N26" i="2"/>
  <c r="N54" i="2" s="1"/>
  <c r="N82" i="2" s="1"/>
  <c r="N19" i="2"/>
  <c r="N47" i="2" s="1"/>
  <c r="N75" i="2" s="1"/>
  <c r="N12" i="2"/>
  <c r="N40" i="2" s="1"/>
  <c r="N68" i="2" s="1"/>
  <c r="N6" i="2"/>
  <c r="N34" i="2" s="1"/>
  <c r="N62" i="2" s="1"/>
  <c r="N5" i="2"/>
  <c r="N33" i="2" s="1"/>
  <c r="N61" i="2" s="1"/>
  <c r="N4" i="2"/>
  <c r="N32" i="2" s="1"/>
  <c r="N60" i="2" s="1"/>
  <c r="N23" i="2"/>
  <c r="N51" i="2" s="1"/>
  <c r="N79" i="2" s="1"/>
  <c r="N16" i="2"/>
  <c r="N44" i="2" s="1"/>
  <c r="N72" i="2" s="1"/>
  <c r="N10" i="2"/>
  <c r="N38" i="2" s="1"/>
  <c r="N66" i="2" s="1"/>
</calcChain>
</file>

<file path=xl/sharedStrings.xml><?xml version="1.0" encoding="utf-8"?>
<sst xmlns="http://schemas.openxmlformats.org/spreadsheetml/2006/main" count="263" uniqueCount="57">
  <si>
    <t>Сервис</t>
  </si>
  <si>
    <t xml:space="preserve">Базис </t>
  </si>
  <si>
    <t>тип тс/ктк</t>
  </si>
  <si>
    <t>город или провинция отправления</t>
  </si>
  <si>
    <t>граница/порт</t>
  </si>
  <si>
    <t>город или провинция доставки</t>
  </si>
  <si>
    <t>стоимость USD</t>
  </si>
  <si>
    <t>стоимость рублей</t>
  </si>
  <si>
    <t>СВХ</t>
  </si>
  <si>
    <t>стоимость СВХ</t>
  </si>
  <si>
    <t>стоимость терминальной обработки</t>
  </si>
  <si>
    <t>автовывоз</t>
  </si>
  <si>
    <t>стоимость охраны</t>
  </si>
  <si>
    <t>валидность</t>
  </si>
  <si>
    <t>транзитный срок</t>
  </si>
  <si>
    <t>даты выходов</t>
  </si>
  <si>
    <t>Departure station</t>
  </si>
  <si>
    <t>Gaoyi station via Eelian border</t>
  </si>
  <si>
    <t>Original city</t>
  </si>
  <si>
    <t>Desitional station</t>
  </si>
  <si>
    <t>FOB</t>
  </si>
  <si>
    <t>Schedule</t>
  </si>
  <si>
    <t>Max weight</t>
  </si>
  <si>
    <t>Tianjin</t>
  </si>
  <si>
    <t>Qingdao</t>
  </si>
  <si>
    <t>Shanghai/Ningbo</t>
  </si>
  <si>
    <t>Hefei Wenzhou</t>
  </si>
  <si>
    <t>Weifang</t>
  </si>
  <si>
    <t>Weihai</t>
  </si>
  <si>
    <t>Guangzhou</t>
  </si>
  <si>
    <t>Shenshen</t>
  </si>
  <si>
    <t>Zhongshan</t>
  </si>
  <si>
    <t>Zhuhai</t>
  </si>
  <si>
    <t>Ningbo</t>
  </si>
  <si>
    <t>Shanghai</t>
  </si>
  <si>
    <t>Jinhua</t>
  </si>
  <si>
    <t>Yiwu</t>
  </si>
  <si>
    <t>Zhengzhou</t>
  </si>
  <si>
    <t>Wuxi</t>
  </si>
  <si>
    <t>Suzhou</t>
  </si>
  <si>
    <t>Datian
via Erlian border</t>
  </si>
  <si>
    <t>Jinhua station via Erlian border</t>
  </si>
  <si>
    <t>Zhengzhou statiom via Alashankou border</t>
  </si>
  <si>
    <t>Xian
via Alashankou border</t>
  </si>
  <si>
    <t>Suzhou
via Erlian border</t>
  </si>
  <si>
    <t>Белый Раст</t>
  </si>
  <si>
    <t>Купавна/ Электроугли</t>
  </si>
  <si>
    <t>Электроугли</t>
  </si>
  <si>
    <t>18.04, 21.04, 23.04, 25.04, 30.04</t>
  </si>
  <si>
    <t>16.04, 18.04, 20.04, 22.04, 23.04</t>
  </si>
  <si>
    <t>жд</t>
  </si>
  <si>
    <t>Эрлянь</t>
  </si>
  <si>
    <t>Алашанкоу</t>
  </si>
  <si>
    <t>Москва</t>
  </si>
  <si>
    <t>40 HC</t>
  </si>
  <si>
    <t>FCA</t>
  </si>
  <si>
    <t>EXW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</si>
</sst>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_₽"/>
    <numFmt numFmtId="165" formatCode="#,##0\ [$$-C0C]"/>
  </numFmts>
  <fonts count="6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sz val="8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ADA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164" fontId="0" fillId="2" borderId="1" xfId="0" applyNumberFormat="1" applyFill="1" applyBorder="1" applyAlignment="1">
      <alignment wrapText="1"/>
    </xf>
    <xf numFmtId="0" fontId="2" fillId="0" borderId="0" xfId="0" applyFont="1"/>
    <xf numFmtId="0" fontId="3" fillId="3" borderId="1" xfId="0" applyFont="1" applyFill="1" applyBorder="1"/>
    <xf numFmtId="0" fontId="2" fillId="0" borderId="1" xfId="0" applyFont="1" applyBorder="1"/>
    <xf numFmtId="0" fontId="0" fillId="2" borderId="1" xfId="0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" xfId="0" applyBorder="1"/>
    <xf numFmtId="16" fontId="0" fillId="0" borderId="1" xfId="0" applyNumberFormat="1" applyBorder="1"/>
    <xf numFmtId="16" fontId="0" fillId="0" borderId="1" xfId="0" applyNumberFormat="1" applyBorder="1" applyAlignment="1">
      <alignment horizontal="left" wrapText="1"/>
    </xf>
    <xf numFmtId="0" fontId="5" fillId="0" borderId="0" xfId="0" applyFont="1"/>
    <xf numFmtId="0" fontId="5" fillId="0" borderId="1" xfId="0" applyFont="1" applyBorder="1"/>
    <xf numFmtId="16" fontId="5" fillId="0" borderId="1" xfId="0" applyNumberFormat="1" applyFont="1" applyBorder="1"/>
    <xf numFmtId="16" fontId="5" fillId="0" borderId="1" xfId="0" applyNumberFormat="1" applyFont="1" applyBorder="1" applyAlignment="1">
      <alignment horizontal="left" wrapText="1"/>
    </xf>
    <xf numFmtId="165" fontId="0" fillId="0" borderId="1" xfId="0" applyNumberFormat="1" applyBorder="1"/>
    <xf numFmtId="165" fontId="0" fillId="0" borderId="0" xfId="0" applyNumberFormat="1"/>
    <xf numFmtId="165" fontId="1" fillId="0" borderId="1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AD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60D96-3568-7E4D-B7A9-5D0B3882C37B}">
  <dimension ref="A2:G38"/>
  <sheetViews>
    <sheetView workbookViewId="0">
      <selection activeCell="B39" sqref="B39"/>
    </sheetView>
  </sheetViews>
  <sheetFormatPr baseColWidth="10" defaultRowHeight="18" x14ac:dyDescent="0.2"/>
  <cols>
    <col min="1" max="1" width="19.6640625" style="4" bestFit="1" customWidth="1"/>
    <col min="2" max="2" width="19.1640625" style="4" bestFit="1" customWidth="1"/>
    <col min="3" max="3" width="19.5" style="4" bestFit="1" customWidth="1"/>
    <col min="4" max="4" width="11.6640625" style="4" bestFit="1" customWidth="1"/>
    <col min="5" max="5" width="19.83203125" style="4" customWidth="1"/>
    <col min="6" max="6" width="13" style="4" bestFit="1" customWidth="1"/>
  </cols>
  <sheetData>
    <row r="2" spans="1:7" x14ac:dyDescent="0.2">
      <c r="A2" s="5" t="s">
        <v>16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</row>
    <row r="3" spans="1:7" x14ac:dyDescent="0.2">
      <c r="A3" s="27" t="s">
        <v>17</v>
      </c>
      <c r="B3" s="6" t="s">
        <v>23</v>
      </c>
      <c r="C3" s="23" t="s">
        <v>46</v>
      </c>
      <c r="D3" s="6">
        <v>3950</v>
      </c>
      <c r="E3" s="22">
        <v>45767</v>
      </c>
      <c r="F3" s="19"/>
      <c r="G3" t="s">
        <v>51</v>
      </c>
    </row>
    <row r="4" spans="1:7" x14ac:dyDescent="0.2">
      <c r="A4" s="27"/>
      <c r="B4" s="6" t="s">
        <v>24</v>
      </c>
      <c r="C4" s="20"/>
      <c r="D4" s="6">
        <v>3950</v>
      </c>
      <c r="E4" s="20"/>
      <c r="F4" s="20"/>
      <c r="G4" t="s">
        <v>51</v>
      </c>
    </row>
    <row r="5" spans="1:7" x14ac:dyDescent="0.2">
      <c r="A5" s="27"/>
      <c r="B5" s="6" t="s">
        <v>25</v>
      </c>
      <c r="C5" s="20"/>
      <c r="D5" s="6">
        <v>3800</v>
      </c>
      <c r="E5" s="20"/>
      <c r="F5" s="20"/>
      <c r="G5" t="s">
        <v>51</v>
      </c>
    </row>
    <row r="6" spans="1:7" x14ac:dyDescent="0.2">
      <c r="A6" s="27"/>
      <c r="B6" s="6" t="s">
        <v>26</v>
      </c>
      <c r="C6" s="20"/>
      <c r="D6" s="6">
        <v>4000</v>
      </c>
      <c r="E6" s="20"/>
      <c r="F6" s="20"/>
      <c r="G6" t="s">
        <v>51</v>
      </c>
    </row>
    <row r="7" spans="1:7" x14ac:dyDescent="0.2">
      <c r="A7" s="27"/>
      <c r="B7" s="6" t="s">
        <v>27</v>
      </c>
      <c r="C7" s="20"/>
      <c r="D7" s="6">
        <v>4000</v>
      </c>
      <c r="E7" s="20"/>
      <c r="F7" s="20"/>
      <c r="G7" t="s">
        <v>51</v>
      </c>
    </row>
    <row r="8" spans="1:7" x14ac:dyDescent="0.2">
      <c r="A8" s="27"/>
      <c r="B8" s="6" t="s">
        <v>28</v>
      </c>
      <c r="C8" s="21"/>
      <c r="D8" s="6">
        <v>4050</v>
      </c>
      <c r="E8" s="21"/>
      <c r="F8" s="21"/>
      <c r="G8" t="s">
        <v>51</v>
      </c>
    </row>
    <row r="9" spans="1:7" x14ac:dyDescent="0.2">
      <c r="A9" s="5" t="s">
        <v>16</v>
      </c>
      <c r="B9" s="5" t="s">
        <v>18</v>
      </c>
      <c r="C9" s="5" t="s">
        <v>19</v>
      </c>
      <c r="D9" s="5" t="s">
        <v>20</v>
      </c>
      <c r="E9" s="5" t="s">
        <v>21</v>
      </c>
      <c r="F9" s="5" t="s">
        <v>22</v>
      </c>
    </row>
    <row r="10" spans="1:7" x14ac:dyDescent="0.2">
      <c r="A10" s="27" t="s">
        <v>40</v>
      </c>
      <c r="B10" s="6" t="s">
        <v>29</v>
      </c>
      <c r="C10" s="19" t="s">
        <v>47</v>
      </c>
      <c r="D10" s="6">
        <v>4150</v>
      </c>
      <c r="E10" s="22">
        <v>45762</v>
      </c>
      <c r="F10" s="19"/>
      <c r="G10" t="s">
        <v>51</v>
      </c>
    </row>
    <row r="11" spans="1:7" x14ac:dyDescent="0.2">
      <c r="A11" s="26"/>
      <c r="B11" s="6" t="s">
        <v>30</v>
      </c>
      <c r="C11" s="20"/>
      <c r="D11" s="6">
        <v>4150</v>
      </c>
      <c r="E11" s="20"/>
      <c r="F11" s="20"/>
      <c r="G11" t="s">
        <v>51</v>
      </c>
    </row>
    <row r="12" spans="1:7" x14ac:dyDescent="0.2">
      <c r="A12" s="26"/>
      <c r="B12" s="6" t="s">
        <v>31</v>
      </c>
      <c r="C12" s="20"/>
      <c r="D12" s="6">
        <v>4150</v>
      </c>
      <c r="E12" s="20"/>
      <c r="F12" s="20"/>
      <c r="G12" t="s">
        <v>51</v>
      </c>
    </row>
    <row r="13" spans="1:7" x14ac:dyDescent="0.2">
      <c r="A13" s="26"/>
      <c r="B13" s="6" t="s">
        <v>32</v>
      </c>
      <c r="C13" s="21"/>
      <c r="D13" s="6">
        <v>4150</v>
      </c>
      <c r="E13" s="21"/>
      <c r="F13" s="21"/>
      <c r="G13" t="s">
        <v>51</v>
      </c>
    </row>
    <row r="14" spans="1:7" x14ac:dyDescent="0.2">
      <c r="A14" s="5" t="s">
        <v>16</v>
      </c>
      <c r="B14" s="5" t="s">
        <v>18</v>
      </c>
      <c r="C14" s="5" t="s">
        <v>19</v>
      </c>
      <c r="D14" s="5" t="s">
        <v>20</v>
      </c>
      <c r="E14" s="5" t="s">
        <v>21</v>
      </c>
      <c r="F14" s="5" t="s">
        <v>22</v>
      </c>
    </row>
    <row r="15" spans="1:7" x14ac:dyDescent="0.2">
      <c r="A15" s="26" t="s">
        <v>41</v>
      </c>
      <c r="B15" s="6" t="s">
        <v>33</v>
      </c>
      <c r="C15" s="23" t="s">
        <v>45</v>
      </c>
      <c r="D15" s="6">
        <v>4350</v>
      </c>
      <c r="E15" s="22">
        <v>45761</v>
      </c>
      <c r="F15" s="19"/>
      <c r="G15" t="s">
        <v>51</v>
      </c>
    </row>
    <row r="16" spans="1:7" x14ac:dyDescent="0.2">
      <c r="A16" s="26"/>
      <c r="B16" s="6" t="s">
        <v>34</v>
      </c>
      <c r="C16" s="20"/>
      <c r="D16" s="6">
        <v>4500</v>
      </c>
      <c r="E16" s="20"/>
      <c r="F16" s="20"/>
      <c r="G16" t="s">
        <v>51</v>
      </c>
    </row>
    <row r="17" spans="1:7" x14ac:dyDescent="0.2">
      <c r="A17" s="26"/>
      <c r="B17" s="6" t="s">
        <v>35</v>
      </c>
      <c r="C17" s="20"/>
      <c r="D17" s="6">
        <v>4250</v>
      </c>
      <c r="E17" s="20"/>
      <c r="F17" s="20"/>
      <c r="G17" t="s">
        <v>51</v>
      </c>
    </row>
    <row r="18" spans="1:7" x14ac:dyDescent="0.2">
      <c r="A18" s="26"/>
      <c r="B18" s="6" t="s">
        <v>36</v>
      </c>
      <c r="C18" s="21"/>
      <c r="D18" s="6">
        <v>4200</v>
      </c>
      <c r="E18" s="21"/>
      <c r="F18" s="21"/>
      <c r="G18" t="s">
        <v>51</v>
      </c>
    </row>
    <row r="19" spans="1:7" x14ac:dyDescent="0.2">
      <c r="A19" s="5" t="s">
        <v>16</v>
      </c>
      <c r="B19" s="5" t="s">
        <v>18</v>
      </c>
      <c r="C19" s="5" t="s">
        <v>19</v>
      </c>
      <c r="D19" s="5" t="s">
        <v>20</v>
      </c>
      <c r="E19" s="5" t="s">
        <v>21</v>
      </c>
      <c r="F19" s="5" t="s">
        <v>22</v>
      </c>
    </row>
    <row r="20" spans="1:7" x14ac:dyDescent="0.2">
      <c r="A20" s="26" t="s">
        <v>42</v>
      </c>
      <c r="B20" s="6" t="s">
        <v>34</v>
      </c>
      <c r="C20" s="19" t="s">
        <v>47</v>
      </c>
      <c r="D20" s="6">
        <v>4150</v>
      </c>
      <c r="E20" s="23" t="s">
        <v>48</v>
      </c>
      <c r="F20" s="19"/>
      <c r="G20" t="s">
        <v>52</v>
      </c>
    </row>
    <row r="21" spans="1:7" x14ac:dyDescent="0.2">
      <c r="A21" s="26"/>
      <c r="B21" s="6" t="s">
        <v>33</v>
      </c>
      <c r="C21" s="20"/>
      <c r="D21" s="6">
        <v>4300</v>
      </c>
      <c r="E21" s="24"/>
      <c r="F21" s="20"/>
      <c r="G21" t="s">
        <v>52</v>
      </c>
    </row>
    <row r="22" spans="1:7" x14ac:dyDescent="0.2">
      <c r="A22" s="26"/>
      <c r="B22" s="6" t="s">
        <v>24</v>
      </c>
      <c r="C22" s="20"/>
      <c r="D22" s="6">
        <v>3850</v>
      </c>
      <c r="E22" s="24"/>
      <c r="F22" s="20"/>
      <c r="G22" t="s">
        <v>52</v>
      </c>
    </row>
    <row r="23" spans="1:7" x14ac:dyDescent="0.2">
      <c r="A23" s="26"/>
      <c r="B23" s="6" t="s">
        <v>23</v>
      </c>
      <c r="C23" s="20"/>
      <c r="D23" s="6">
        <v>3950</v>
      </c>
      <c r="E23" s="24"/>
      <c r="F23" s="20"/>
      <c r="G23" t="s">
        <v>52</v>
      </c>
    </row>
    <row r="24" spans="1:7" x14ac:dyDescent="0.2">
      <c r="A24" s="26"/>
      <c r="B24" s="6" t="s">
        <v>36</v>
      </c>
      <c r="C24" s="20"/>
      <c r="D24" s="6">
        <v>4400</v>
      </c>
      <c r="E24" s="24"/>
      <c r="F24" s="20"/>
      <c r="G24" t="s">
        <v>52</v>
      </c>
    </row>
    <row r="25" spans="1:7" x14ac:dyDescent="0.2">
      <c r="A25" s="26"/>
      <c r="B25" s="6" t="s">
        <v>37</v>
      </c>
      <c r="C25" s="21"/>
      <c r="D25" s="6">
        <v>3450</v>
      </c>
      <c r="E25" s="25"/>
      <c r="F25" s="21"/>
      <c r="G25" t="s">
        <v>52</v>
      </c>
    </row>
    <row r="26" spans="1:7" x14ac:dyDescent="0.2">
      <c r="A26" s="5" t="s">
        <v>16</v>
      </c>
      <c r="B26" s="5" t="s">
        <v>18</v>
      </c>
      <c r="C26" s="5" t="s">
        <v>19</v>
      </c>
      <c r="D26" s="5" t="s">
        <v>20</v>
      </c>
      <c r="E26" s="5" t="s">
        <v>21</v>
      </c>
      <c r="F26" s="5" t="s">
        <v>22</v>
      </c>
    </row>
    <row r="27" spans="1:7" x14ac:dyDescent="0.2">
      <c r="A27" s="27" t="s">
        <v>43</v>
      </c>
      <c r="B27" s="6" t="s">
        <v>34</v>
      </c>
      <c r="C27" s="19" t="s">
        <v>47</v>
      </c>
      <c r="D27" s="6">
        <v>4100</v>
      </c>
      <c r="E27" s="23" t="s">
        <v>49</v>
      </c>
      <c r="F27" s="19"/>
      <c r="G27" t="s">
        <v>52</v>
      </c>
    </row>
    <row r="28" spans="1:7" x14ac:dyDescent="0.2">
      <c r="A28" s="26"/>
      <c r="B28" s="6" t="s">
        <v>33</v>
      </c>
      <c r="C28" s="20"/>
      <c r="D28" s="6">
        <v>4160</v>
      </c>
      <c r="E28" s="24"/>
      <c r="F28" s="20"/>
      <c r="G28" t="s">
        <v>52</v>
      </c>
    </row>
    <row r="29" spans="1:7" x14ac:dyDescent="0.2">
      <c r="A29" s="26"/>
      <c r="B29" s="6" t="s">
        <v>24</v>
      </c>
      <c r="C29" s="20"/>
      <c r="D29" s="6">
        <v>3970</v>
      </c>
      <c r="E29" s="24"/>
      <c r="F29" s="20"/>
      <c r="G29" t="s">
        <v>52</v>
      </c>
    </row>
    <row r="30" spans="1:7" x14ac:dyDescent="0.2">
      <c r="A30" s="26"/>
      <c r="B30" s="6" t="s">
        <v>23</v>
      </c>
      <c r="C30" s="21"/>
      <c r="D30" s="6">
        <v>4020</v>
      </c>
      <c r="E30" s="25"/>
      <c r="F30" s="21"/>
      <c r="G30" t="s">
        <v>52</v>
      </c>
    </row>
    <row r="31" spans="1:7" x14ac:dyDescent="0.2">
      <c r="A31" s="5" t="s">
        <v>16</v>
      </c>
      <c r="B31" s="5" t="s">
        <v>18</v>
      </c>
      <c r="C31" s="5" t="s">
        <v>19</v>
      </c>
      <c r="D31" s="5" t="s">
        <v>20</v>
      </c>
      <c r="E31" s="5" t="s">
        <v>21</v>
      </c>
      <c r="F31" s="5" t="s">
        <v>22</v>
      </c>
    </row>
    <row r="32" spans="1:7" x14ac:dyDescent="0.2">
      <c r="A32" s="27" t="s">
        <v>44</v>
      </c>
      <c r="B32" s="6" t="s">
        <v>34</v>
      </c>
      <c r="C32" s="19" t="s">
        <v>47</v>
      </c>
      <c r="D32" s="6">
        <v>4550</v>
      </c>
      <c r="E32" s="22">
        <v>45766</v>
      </c>
      <c r="F32" s="19"/>
      <c r="G32" t="s">
        <v>51</v>
      </c>
    </row>
    <row r="33" spans="1:7" x14ac:dyDescent="0.2">
      <c r="A33" s="26"/>
      <c r="B33" s="6" t="s">
        <v>33</v>
      </c>
      <c r="C33" s="20"/>
      <c r="D33" s="6">
        <v>4750</v>
      </c>
      <c r="E33" s="20"/>
      <c r="F33" s="20"/>
      <c r="G33" t="s">
        <v>51</v>
      </c>
    </row>
    <row r="34" spans="1:7" x14ac:dyDescent="0.2">
      <c r="A34" s="26"/>
      <c r="B34" s="6" t="s">
        <v>38</v>
      </c>
      <c r="C34" s="20"/>
      <c r="D34" s="6">
        <v>4600</v>
      </c>
      <c r="E34" s="20"/>
      <c r="F34" s="20"/>
      <c r="G34" t="s">
        <v>51</v>
      </c>
    </row>
    <row r="35" spans="1:7" x14ac:dyDescent="0.2">
      <c r="A35" s="26"/>
      <c r="B35" s="6" t="s">
        <v>39</v>
      </c>
      <c r="C35" s="21"/>
      <c r="D35" s="6">
        <v>4500</v>
      </c>
      <c r="E35" s="21"/>
      <c r="F35" s="21"/>
      <c r="G35" t="s">
        <v>51</v>
      </c>
    </row>
    <row r="38" spans="1:7" x14ac:dyDescent="0.2">
      <c r="A38" s="4" t="s">
        <v>47</v>
      </c>
      <c r="B38" s="4">
        <v>44690</v>
      </c>
    </row>
  </sheetData>
  <mergeCells count="24">
    <mergeCell ref="A15:A18"/>
    <mergeCell ref="A20:A25"/>
    <mergeCell ref="A27:A30"/>
    <mergeCell ref="A32:A35"/>
    <mergeCell ref="C3:C8"/>
    <mergeCell ref="C15:C18"/>
    <mergeCell ref="C20:C25"/>
    <mergeCell ref="C10:C13"/>
    <mergeCell ref="C27:C30"/>
    <mergeCell ref="A3:A8"/>
    <mergeCell ref="A10:A13"/>
    <mergeCell ref="F27:F30"/>
    <mergeCell ref="E32:E35"/>
    <mergeCell ref="F32:F35"/>
    <mergeCell ref="C32:C35"/>
    <mergeCell ref="E3:E8"/>
    <mergeCell ref="E10:E13"/>
    <mergeCell ref="E15:E18"/>
    <mergeCell ref="F3:F8"/>
    <mergeCell ref="F10:F13"/>
    <mergeCell ref="F15:F18"/>
    <mergeCell ref="F20:F25"/>
    <mergeCell ref="E20:E25"/>
    <mergeCell ref="E27:E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20911-AB13-A948-AE81-7D58766A7DD7}">
  <dimension ref="A1:P85"/>
  <sheetViews>
    <sheetView tabSelected="1" topLeftCell="A44" workbookViewId="0">
      <selection activeCell="K18" sqref="K18"/>
    </sheetView>
  </sheetViews>
  <sheetFormatPr baseColWidth="10" defaultRowHeight="16" x14ac:dyDescent="0.2"/>
  <cols>
    <col min="4" max="4" width="15.33203125" bestFit="1" customWidth="1"/>
    <col min="7" max="7" width="10.83203125" style="17"/>
    <col min="9" max="9" width="20.1640625" bestFit="1" customWidth="1"/>
    <col min="16" max="16" width="30.33203125" style="8" customWidth="1"/>
  </cols>
  <sheetData>
    <row r="1" spans="1:16" ht="68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7" t="s">
        <v>15</v>
      </c>
    </row>
    <row r="2" spans="1:16" x14ac:dyDescent="0.2">
      <c r="A2" s="9" t="s">
        <v>50</v>
      </c>
      <c r="B2" s="9" t="str">
        <f>Лист1!$D$9</f>
        <v>FOB</v>
      </c>
      <c r="C2" s="9" t="s">
        <v>54</v>
      </c>
      <c r="D2" s="9" t="str">
        <f>Лист1!B3</f>
        <v>Tianjin</v>
      </c>
      <c r="E2" s="9" t="str">
        <f>Лист1!G3</f>
        <v>Эрлянь</v>
      </c>
      <c r="F2" s="9" t="s">
        <v>53</v>
      </c>
      <c r="G2" s="16">
        <f>Лист1!D3</f>
        <v>3950</v>
      </c>
      <c r="H2" s="9"/>
      <c r="I2" s="9" t="str">
        <f>Лист1!$C$3</f>
        <v>Купавна/ Электроугли</v>
      </c>
      <c r="J2" s="9"/>
      <c r="K2" s="9">
        <f>Лист1!$B$38</f>
        <v>44690</v>
      </c>
      <c r="L2" s="9"/>
      <c r="M2" s="9"/>
      <c r="N2" s="10">
        <f>$P$2</f>
        <v>45767</v>
      </c>
      <c r="O2" s="9"/>
      <c r="P2" s="11">
        <f>Лист1!$E$3</f>
        <v>45767</v>
      </c>
    </row>
    <row r="3" spans="1:16" x14ac:dyDescent="0.2">
      <c r="A3" s="9" t="s">
        <v>50</v>
      </c>
      <c r="B3" s="9" t="str">
        <f>Лист1!$D$9</f>
        <v>FOB</v>
      </c>
      <c r="C3" s="9" t="s">
        <v>54</v>
      </c>
      <c r="D3" s="9" t="str">
        <f>Лист1!B4</f>
        <v>Qingdao</v>
      </c>
      <c r="E3" s="9" t="str">
        <f>Лист1!G4</f>
        <v>Эрлянь</v>
      </c>
      <c r="F3" s="9" t="s">
        <v>53</v>
      </c>
      <c r="G3" s="16">
        <f>Лист1!D4</f>
        <v>3950</v>
      </c>
      <c r="H3" s="9"/>
      <c r="I3" s="9" t="str">
        <f>Лист1!$C$3</f>
        <v>Купавна/ Электроугли</v>
      </c>
      <c r="J3" s="9"/>
      <c r="K3" s="9">
        <f>Лист1!$B$38</f>
        <v>44690</v>
      </c>
      <c r="L3" s="9"/>
      <c r="M3" s="9"/>
      <c r="N3" s="10">
        <f t="shared" ref="N3:N29" si="0">$P$2</f>
        <v>45767</v>
      </c>
      <c r="O3" s="9"/>
      <c r="P3" s="11">
        <f>Лист1!$E$3</f>
        <v>45767</v>
      </c>
    </row>
    <row r="4" spans="1:16" x14ac:dyDescent="0.2">
      <c r="A4" s="9" t="s">
        <v>50</v>
      </c>
      <c r="B4" s="9" t="str">
        <f>Лист1!$D$9</f>
        <v>FOB</v>
      </c>
      <c r="C4" s="9" t="s">
        <v>54</v>
      </c>
      <c r="D4" s="9" t="str">
        <f>Лист1!B5</f>
        <v>Shanghai/Ningbo</v>
      </c>
      <c r="E4" s="9" t="str">
        <f>Лист1!G5</f>
        <v>Эрлянь</v>
      </c>
      <c r="F4" s="9" t="s">
        <v>53</v>
      </c>
      <c r="G4" s="16">
        <f>Лист1!D5</f>
        <v>3800</v>
      </c>
      <c r="H4" s="9"/>
      <c r="I4" s="9" t="str">
        <f>Лист1!$C$3</f>
        <v>Купавна/ Электроугли</v>
      </c>
      <c r="J4" s="9"/>
      <c r="K4" s="9">
        <f>Лист1!$B$38</f>
        <v>44690</v>
      </c>
      <c r="L4" s="9"/>
      <c r="M4" s="9"/>
      <c r="N4" s="10">
        <f t="shared" si="0"/>
        <v>45767</v>
      </c>
      <c r="O4" s="9"/>
      <c r="P4" s="11">
        <f>Лист1!$E$3</f>
        <v>45767</v>
      </c>
    </row>
    <row r="5" spans="1:16" x14ac:dyDescent="0.2">
      <c r="A5" s="9" t="s">
        <v>50</v>
      </c>
      <c r="B5" s="9" t="str">
        <f>Лист1!$D$9</f>
        <v>FOB</v>
      </c>
      <c r="C5" s="9" t="s">
        <v>54</v>
      </c>
      <c r="D5" s="9" t="str">
        <f>Лист1!B6</f>
        <v>Hefei Wenzhou</v>
      </c>
      <c r="E5" s="9" t="str">
        <f>Лист1!G6</f>
        <v>Эрлянь</v>
      </c>
      <c r="F5" s="9" t="s">
        <v>53</v>
      </c>
      <c r="G5" s="16">
        <f>Лист1!D6</f>
        <v>4000</v>
      </c>
      <c r="H5" s="9"/>
      <c r="I5" s="9" t="str">
        <f>Лист1!$C$3</f>
        <v>Купавна/ Электроугли</v>
      </c>
      <c r="J5" s="9"/>
      <c r="K5" s="9">
        <f>Лист1!$B$38</f>
        <v>44690</v>
      </c>
      <c r="L5" s="9"/>
      <c r="M5" s="9"/>
      <c r="N5" s="10">
        <f t="shared" si="0"/>
        <v>45767</v>
      </c>
      <c r="O5" s="9"/>
      <c r="P5" s="11">
        <f>Лист1!$E$3</f>
        <v>45767</v>
      </c>
    </row>
    <row r="6" spans="1:16" x14ac:dyDescent="0.2">
      <c r="A6" s="9" t="s">
        <v>50</v>
      </c>
      <c r="B6" s="9" t="str">
        <f>Лист1!$D$9</f>
        <v>FOB</v>
      </c>
      <c r="C6" s="9" t="s">
        <v>54</v>
      </c>
      <c r="D6" s="9" t="str">
        <f>Лист1!B7</f>
        <v>Weifang</v>
      </c>
      <c r="E6" s="9" t="str">
        <f>Лист1!G7</f>
        <v>Эрлянь</v>
      </c>
      <c r="F6" s="9" t="s">
        <v>53</v>
      </c>
      <c r="G6" s="16">
        <f>Лист1!D7</f>
        <v>4000</v>
      </c>
      <c r="H6" s="9"/>
      <c r="I6" s="9" t="str">
        <f>Лист1!$C$3</f>
        <v>Купавна/ Электроугли</v>
      </c>
      <c r="J6" s="9"/>
      <c r="K6" s="9">
        <f>Лист1!$B$38</f>
        <v>44690</v>
      </c>
      <c r="L6" s="9"/>
      <c r="M6" s="9"/>
      <c r="N6" s="10">
        <f t="shared" si="0"/>
        <v>45767</v>
      </c>
      <c r="O6" s="9"/>
      <c r="P6" s="11">
        <f>Лист1!$E$3</f>
        <v>45767</v>
      </c>
    </row>
    <row r="7" spans="1:16" x14ac:dyDescent="0.2">
      <c r="A7" s="9" t="s">
        <v>50</v>
      </c>
      <c r="B7" s="9" t="str">
        <f>Лист1!$D$9</f>
        <v>FOB</v>
      </c>
      <c r="C7" s="9" t="s">
        <v>54</v>
      </c>
      <c r="D7" s="9" t="str">
        <f>Лист1!B8</f>
        <v>Weihai</v>
      </c>
      <c r="E7" s="9" t="str">
        <f>Лист1!G8</f>
        <v>Эрлянь</v>
      </c>
      <c r="F7" s="9" t="s">
        <v>53</v>
      </c>
      <c r="G7" s="16">
        <f>Лист1!D8</f>
        <v>4050</v>
      </c>
      <c r="H7" s="9"/>
      <c r="I7" s="9" t="str">
        <f>Лист1!$C$3</f>
        <v>Купавна/ Электроугли</v>
      </c>
      <c r="J7" s="9"/>
      <c r="K7" s="9">
        <f>Лист1!$B$38</f>
        <v>44690</v>
      </c>
      <c r="L7" s="9"/>
      <c r="M7" s="9"/>
      <c r="N7" s="10">
        <f t="shared" si="0"/>
        <v>45767</v>
      </c>
      <c r="O7" s="9"/>
      <c r="P7" s="11">
        <f>Лист1!$E$3</f>
        <v>45767</v>
      </c>
    </row>
    <row r="8" spans="1:16" x14ac:dyDescent="0.2">
      <c r="A8" s="9" t="s">
        <v>50</v>
      </c>
      <c r="B8" s="9" t="str">
        <f>Лист1!$D$9</f>
        <v>FOB</v>
      </c>
      <c r="C8" s="9" t="s">
        <v>54</v>
      </c>
      <c r="D8" s="9" t="str">
        <f>Лист1!B10</f>
        <v>Guangzhou</v>
      </c>
      <c r="E8" s="9" t="str">
        <f>Лист1!G10</f>
        <v>Эрлянь</v>
      </c>
      <c r="F8" s="9" t="s">
        <v>53</v>
      </c>
      <c r="G8" s="16">
        <f>Лист1!D10</f>
        <v>4150</v>
      </c>
      <c r="H8" s="9"/>
      <c r="I8" s="9" t="str">
        <f>Лист1!$C$10</f>
        <v>Электроугли</v>
      </c>
      <c r="J8" s="9"/>
      <c r="K8" s="9">
        <f>Лист1!$B$38</f>
        <v>44690</v>
      </c>
      <c r="L8" s="9"/>
      <c r="M8" s="9"/>
      <c r="N8" s="10">
        <f t="shared" si="0"/>
        <v>45767</v>
      </c>
      <c r="O8" s="9"/>
      <c r="P8" s="11">
        <f>Лист1!$E$10</f>
        <v>45762</v>
      </c>
    </row>
    <row r="9" spans="1:16" x14ac:dyDescent="0.2">
      <c r="A9" s="9" t="s">
        <v>50</v>
      </c>
      <c r="B9" s="9" t="str">
        <f>Лист1!$D$9</f>
        <v>FOB</v>
      </c>
      <c r="C9" s="9" t="s">
        <v>54</v>
      </c>
      <c r="D9" s="9" t="str">
        <f>Лист1!B11</f>
        <v>Shenshen</v>
      </c>
      <c r="E9" s="9" t="str">
        <f>Лист1!G11</f>
        <v>Эрлянь</v>
      </c>
      <c r="F9" s="9" t="s">
        <v>53</v>
      </c>
      <c r="G9" s="16">
        <f>Лист1!D11</f>
        <v>4150</v>
      </c>
      <c r="H9" s="9"/>
      <c r="I9" s="9" t="str">
        <f>Лист1!$C$10</f>
        <v>Электроугли</v>
      </c>
      <c r="J9" s="9"/>
      <c r="K9" s="9">
        <f>Лист1!$B$38</f>
        <v>44690</v>
      </c>
      <c r="L9" s="9"/>
      <c r="M9" s="9"/>
      <c r="N9" s="10">
        <f t="shared" si="0"/>
        <v>45767</v>
      </c>
      <c r="O9" s="9"/>
      <c r="P9" s="11">
        <f>Лист1!$E$10</f>
        <v>45762</v>
      </c>
    </row>
    <row r="10" spans="1:16" x14ac:dyDescent="0.2">
      <c r="A10" s="9" t="s">
        <v>50</v>
      </c>
      <c r="B10" s="9" t="str">
        <f>Лист1!$D$9</f>
        <v>FOB</v>
      </c>
      <c r="C10" s="9" t="s">
        <v>54</v>
      </c>
      <c r="D10" s="9" t="str">
        <f>Лист1!B12</f>
        <v>Zhongshan</v>
      </c>
      <c r="E10" s="9" t="str">
        <f>Лист1!G12</f>
        <v>Эрлянь</v>
      </c>
      <c r="F10" s="9" t="s">
        <v>53</v>
      </c>
      <c r="G10" s="16">
        <f>Лист1!D12</f>
        <v>4150</v>
      </c>
      <c r="H10" s="9"/>
      <c r="I10" s="9" t="str">
        <f>Лист1!$C$10</f>
        <v>Электроугли</v>
      </c>
      <c r="J10" s="9"/>
      <c r="K10" s="9">
        <f>Лист1!$B$38</f>
        <v>44690</v>
      </c>
      <c r="L10" s="9"/>
      <c r="M10" s="9"/>
      <c r="N10" s="10">
        <f t="shared" si="0"/>
        <v>45767</v>
      </c>
      <c r="O10" s="9"/>
      <c r="P10" s="11">
        <f>Лист1!$E$10</f>
        <v>45762</v>
      </c>
    </row>
    <row r="11" spans="1:16" x14ac:dyDescent="0.2">
      <c r="A11" s="9" t="s">
        <v>50</v>
      </c>
      <c r="B11" s="9" t="str">
        <f>Лист1!$D$9</f>
        <v>FOB</v>
      </c>
      <c r="C11" s="9" t="s">
        <v>54</v>
      </c>
      <c r="D11" s="9" t="str">
        <f>Лист1!B13</f>
        <v>Zhuhai</v>
      </c>
      <c r="E11" s="9" t="str">
        <f>Лист1!G13</f>
        <v>Эрлянь</v>
      </c>
      <c r="F11" s="9" t="s">
        <v>53</v>
      </c>
      <c r="G11" s="16">
        <f>Лист1!D13</f>
        <v>4150</v>
      </c>
      <c r="H11" s="9"/>
      <c r="I11" s="9" t="str">
        <f>Лист1!$C$10</f>
        <v>Электроугли</v>
      </c>
      <c r="J11" s="9"/>
      <c r="K11" s="9">
        <f>Лист1!$B$38</f>
        <v>44690</v>
      </c>
      <c r="L11" s="9"/>
      <c r="M11" s="9"/>
      <c r="N11" s="10">
        <f t="shared" si="0"/>
        <v>45767</v>
      </c>
      <c r="O11" s="9"/>
      <c r="P11" s="11">
        <f>Лист1!$E$10</f>
        <v>45762</v>
      </c>
    </row>
    <row r="12" spans="1:16" x14ac:dyDescent="0.2">
      <c r="A12" s="9" t="s">
        <v>50</v>
      </c>
      <c r="B12" s="9" t="str">
        <f>Лист1!$D$9</f>
        <v>FOB</v>
      </c>
      <c r="C12" s="9" t="s">
        <v>54</v>
      </c>
      <c r="D12" s="9" t="str">
        <f>Лист1!B15</f>
        <v>Ningbo</v>
      </c>
      <c r="E12" s="9" t="str">
        <f>Лист1!G15</f>
        <v>Эрлянь</v>
      </c>
      <c r="F12" s="9" t="s">
        <v>53</v>
      </c>
      <c r="G12" s="16">
        <f>Лист1!D15</f>
        <v>4350</v>
      </c>
      <c r="H12" s="9"/>
      <c r="I12" s="9" t="str">
        <f>Лист1!$C$15</f>
        <v>Белый Раст</v>
      </c>
      <c r="J12" s="9"/>
      <c r="K12" s="9"/>
      <c r="L12" s="9"/>
      <c r="M12" s="9"/>
      <c r="N12" s="10">
        <f t="shared" si="0"/>
        <v>45767</v>
      </c>
      <c r="O12" s="9"/>
      <c r="P12" s="11">
        <f>Лист1!$E$15</f>
        <v>45761</v>
      </c>
    </row>
    <row r="13" spans="1:16" x14ac:dyDescent="0.2">
      <c r="A13" s="9" t="s">
        <v>50</v>
      </c>
      <c r="B13" s="9" t="str">
        <f>Лист1!$D$9</f>
        <v>FOB</v>
      </c>
      <c r="C13" s="9" t="s">
        <v>54</v>
      </c>
      <c r="D13" s="9" t="str">
        <f>Лист1!B16</f>
        <v>Shanghai</v>
      </c>
      <c r="E13" s="9" t="str">
        <f>Лист1!G16</f>
        <v>Эрлянь</v>
      </c>
      <c r="F13" s="9" t="s">
        <v>53</v>
      </c>
      <c r="G13" s="16">
        <f>Лист1!D16</f>
        <v>4500</v>
      </c>
      <c r="H13" s="9"/>
      <c r="I13" s="9" t="str">
        <f>Лист1!$C$15</f>
        <v>Белый Раст</v>
      </c>
      <c r="J13" s="9"/>
      <c r="K13" s="9"/>
      <c r="L13" s="9"/>
      <c r="M13" s="9"/>
      <c r="N13" s="10">
        <f t="shared" si="0"/>
        <v>45767</v>
      </c>
      <c r="O13" s="9"/>
      <c r="P13" s="11">
        <f>Лист1!$E$15</f>
        <v>45761</v>
      </c>
    </row>
    <row r="14" spans="1:16" x14ac:dyDescent="0.2">
      <c r="A14" s="9" t="s">
        <v>50</v>
      </c>
      <c r="B14" s="9" t="str">
        <f>Лист1!$D$9</f>
        <v>FOB</v>
      </c>
      <c r="C14" s="9" t="s">
        <v>54</v>
      </c>
      <c r="D14" s="9" t="str">
        <f>Лист1!B17</f>
        <v>Jinhua</v>
      </c>
      <c r="E14" s="9" t="str">
        <f>Лист1!G17</f>
        <v>Эрлянь</v>
      </c>
      <c r="F14" s="9" t="s">
        <v>53</v>
      </c>
      <c r="G14" s="16">
        <f>Лист1!D17</f>
        <v>4250</v>
      </c>
      <c r="H14" s="9"/>
      <c r="I14" s="9" t="str">
        <f>Лист1!$C$15</f>
        <v>Белый Раст</v>
      </c>
      <c r="J14" s="9"/>
      <c r="K14" s="9"/>
      <c r="L14" s="9"/>
      <c r="M14" s="9"/>
      <c r="N14" s="10">
        <f t="shared" si="0"/>
        <v>45767</v>
      </c>
      <c r="O14" s="9"/>
      <c r="P14" s="11">
        <f>Лист1!$E$15</f>
        <v>45761</v>
      </c>
    </row>
    <row r="15" spans="1:16" x14ac:dyDescent="0.2">
      <c r="A15" s="9" t="s">
        <v>50</v>
      </c>
      <c r="B15" s="9" t="str">
        <f>Лист1!$D$9</f>
        <v>FOB</v>
      </c>
      <c r="C15" s="9" t="s">
        <v>54</v>
      </c>
      <c r="D15" s="9" t="str">
        <f>Лист1!B18</f>
        <v>Yiwu</v>
      </c>
      <c r="E15" s="9" t="str">
        <f>Лист1!G18</f>
        <v>Эрлянь</v>
      </c>
      <c r="F15" s="9" t="s">
        <v>53</v>
      </c>
      <c r="G15" s="16">
        <f>Лист1!D18</f>
        <v>4200</v>
      </c>
      <c r="H15" s="9"/>
      <c r="I15" s="9" t="str">
        <f>Лист1!$C$15</f>
        <v>Белый Раст</v>
      </c>
      <c r="J15" s="9"/>
      <c r="K15" s="9"/>
      <c r="L15" s="9"/>
      <c r="M15" s="9"/>
      <c r="N15" s="10">
        <f t="shared" si="0"/>
        <v>45767</v>
      </c>
      <c r="O15" s="9"/>
      <c r="P15" s="11">
        <f>Лист1!$E$15</f>
        <v>45761</v>
      </c>
    </row>
    <row r="16" spans="1:16" ht="17" x14ac:dyDescent="0.2">
      <c r="A16" s="9" t="s">
        <v>50</v>
      </c>
      <c r="B16" s="9" t="str">
        <f>Лист1!$D$9</f>
        <v>FOB</v>
      </c>
      <c r="C16" s="9" t="s">
        <v>54</v>
      </c>
      <c r="D16" s="9" t="str">
        <f>Лист1!B20</f>
        <v>Shanghai</v>
      </c>
      <c r="E16" s="9" t="str">
        <f>Лист1!G20</f>
        <v>Алашанкоу</v>
      </c>
      <c r="F16" s="9" t="s">
        <v>53</v>
      </c>
      <c r="G16" s="16">
        <f>Лист1!D20</f>
        <v>4150</v>
      </c>
      <c r="H16" s="9"/>
      <c r="I16" s="9" t="str">
        <f>Лист1!C20</f>
        <v>Электроугли</v>
      </c>
      <c r="J16" s="9"/>
      <c r="K16" s="9"/>
      <c r="L16" s="9"/>
      <c r="M16" s="9"/>
      <c r="N16" s="10">
        <f t="shared" si="0"/>
        <v>45767</v>
      </c>
      <c r="O16" s="9"/>
      <c r="P16" s="11" t="str">
        <f>Лист1!$E$20</f>
        <v>18.04, 21.04, 23.04, 25.04, 30.04</v>
      </c>
    </row>
    <row r="17" spans="1:16" ht="17" x14ac:dyDescent="0.2">
      <c r="A17" s="9" t="s">
        <v>50</v>
      </c>
      <c r="B17" s="9" t="str">
        <f>Лист1!$D$9</f>
        <v>FOB</v>
      </c>
      <c r="C17" s="9" t="s">
        <v>54</v>
      </c>
      <c r="D17" s="9" t="str">
        <f>Лист1!B21</f>
        <v>Ningbo</v>
      </c>
      <c r="E17" s="9" t="str">
        <f>Лист1!G21</f>
        <v>Алашанкоу</v>
      </c>
      <c r="F17" s="9" t="s">
        <v>53</v>
      </c>
      <c r="G17" s="16">
        <f>Лист1!D21</f>
        <v>4300</v>
      </c>
      <c r="H17" s="9"/>
      <c r="I17" s="9" t="str">
        <f>Лист1!$C$10</f>
        <v>Электроугли</v>
      </c>
      <c r="J17" s="9"/>
      <c r="K17" s="9"/>
      <c r="L17" s="9"/>
      <c r="M17" s="9"/>
      <c r="N17" s="10">
        <f t="shared" si="0"/>
        <v>45767</v>
      </c>
      <c r="O17" s="9"/>
      <c r="P17" s="11" t="str">
        <f>Лист1!$E$20</f>
        <v>18.04, 21.04, 23.04, 25.04, 30.04</v>
      </c>
    </row>
    <row r="18" spans="1:16" ht="17" x14ac:dyDescent="0.2">
      <c r="A18" s="9" t="s">
        <v>50</v>
      </c>
      <c r="B18" s="9" t="str">
        <f>Лист1!$D$9</f>
        <v>FOB</v>
      </c>
      <c r="C18" s="9" t="s">
        <v>54</v>
      </c>
      <c r="D18" s="9" t="str">
        <f>Лист1!B22</f>
        <v>Qingdao</v>
      </c>
      <c r="E18" s="9" t="str">
        <f>Лист1!G22</f>
        <v>Алашанкоу</v>
      </c>
      <c r="F18" s="9" t="s">
        <v>53</v>
      </c>
      <c r="G18" s="16">
        <f>Лист1!D22</f>
        <v>3850</v>
      </c>
      <c r="H18" s="9"/>
      <c r="I18" s="9" t="str">
        <f>Лист1!$C$10</f>
        <v>Электроугли</v>
      </c>
      <c r="J18" s="9"/>
      <c r="K18" s="9"/>
      <c r="L18" s="9"/>
      <c r="M18" s="9"/>
      <c r="N18" s="10">
        <f t="shared" si="0"/>
        <v>45767</v>
      </c>
      <c r="O18" s="9"/>
      <c r="P18" s="11" t="str">
        <f>Лист1!$E$20</f>
        <v>18.04, 21.04, 23.04, 25.04, 30.04</v>
      </c>
    </row>
    <row r="19" spans="1:16" ht="17" x14ac:dyDescent="0.2">
      <c r="A19" s="9" t="s">
        <v>50</v>
      </c>
      <c r="B19" s="9" t="str">
        <f>Лист1!$D$9</f>
        <v>FOB</v>
      </c>
      <c r="C19" s="9" t="s">
        <v>54</v>
      </c>
      <c r="D19" s="9" t="str">
        <f>Лист1!B23</f>
        <v>Tianjin</v>
      </c>
      <c r="E19" s="9" t="str">
        <f>Лист1!G23</f>
        <v>Алашанкоу</v>
      </c>
      <c r="F19" s="9" t="s">
        <v>53</v>
      </c>
      <c r="G19" s="16">
        <f>Лист1!D23</f>
        <v>3950</v>
      </c>
      <c r="H19" s="9"/>
      <c r="I19" s="9" t="str">
        <f>Лист1!$C$10</f>
        <v>Электроугли</v>
      </c>
      <c r="J19" s="9"/>
      <c r="K19" s="9"/>
      <c r="L19" s="9"/>
      <c r="M19" s="9"/>
      <c r="N19" s="10">
        <f t="shared" si="0"/>
        <v>45767</v>
      </c>
      <c r="O19" s="9"/>
      <c r="P19" s="11" t="str">
        <f>Лист1!$E$20</f>
        <v>18.04, 21.04, 23.04, 25.04, 30.04</v>
      </c>
    </row>
    <row r="20" spans="1:16" ht="17" x14ac:dyDescent="0.2">
      <c r="A20" s="9" t="s">
        <v>50</v>
      </c>
      <c r="B20" s="9" t="str">
        <f>Лист1!$D$9</f>
        <v>FOB</v>
      </c>
      <c r="C20" s="9" t="s">
        <v>54</v>
      </c>
      <c r="D20" s="9" t="str">
        <f>Лист1!B24</f>
        <v>Yiwu</v>
      </c>
      <c r="E20" s="9" t="str">
        <f>Лист1!G24</f>
        <v>Алашанкоу</v>
      </c>
      <c r="F20" s="9" t="s">
        <v>53</v>
      </c>
      <c r="G20" s="16">
        <f>Лист1!D24</f>
        <v>4400</v>
      </c>
      <c r="H20" s="9"/>
      <c r="I20" s="9" t="str">
        <f>Лист1!$C$10</f>
        <v>Электроугли</v>
      </c>
      <c r="J20" s="9"/>
      <c r="K20" s="9"/>
      <c r="L20" s="9"/>
      <c r="M20" s="9"/>
      <c r="N20" s="10">
        <f t="shared" si="0"/>
        <v>45767</v>
      </c>
      <c r="O20" s="9"/>
      <c r="P20" s="11" t="str">
        <f>Лист1!$E$20</f>
        <v>18.04, 21.04, 23.04, 25.04, 30.04</v>
      </c>
    </row>
    <row r="21" spans="1:16" ht="17" x14ac:dyDescent="0.2">
      <c r="A21" s="9" t="s">
        <v>50</v>
      </c>
      <c r="B21" s="9" t="str">
        <f>Лист1!$D$9</f>
        <v>FOB</v>
      </c>
      <c r="C21" s="9" t="s">
        <v>54</v>
      </c>
      <c r="D21" s="9" t="str">
        <f>Лист1!B25</f>
        <v>Zhengzhou</v>
      </c>
      <c r="E21" s="9" t="str">
        <f>Лист1!G25</f>
        <v>Алашанкоу</v>
      </c>
      <c r="F21" s="9" t="s">
        <v>53</v>
      </c>
      <c r="G21" s="16">
        <f>Лист1!D25</f>
        <v>3450</v>
      </c>
      <c r="H21" s="9"/>
      <c r="I21" s="9" t="str">
        <f>Лист1!$C$10</f>
        <v>Электроугли</v>
      </c>
      <c r="J21" s="9"/>
      <c r="K21" s="9"/>
      <c r="L21" s="9"/>
      <c r="M21" s="9"/>
      <c r="N21" s="10">
        <f t="shared" si="0"/>
        <v>45767</v>
      </c>
      <c r="O21" s="9"/>
      <c r="P21" s="11" t="str">
        <f>Лист1!$E$20</f>
        <v>18.04, 21.04, 23.04, 25.04, 30.04</v>
      </c>
    </row>
    <row r="22" spans="1:16" ht="17" x14ac:dyDescent="0.2">
      <c r="A22" s="9" t="s">
        <v>50</v>
      </c>
      <c r="B22" s="9" t="str">
        <f>Лист1!$D$9</f>
        <v>FOB</v>
      </c>
      <c r="C22" s="9" t="s">
        <v>54</v>
      </c>
      <c r="D22" s="9" t="str">
        <f>Лист1!B27</f>
        <v>Shanghai</v>
      </c>
      <c r="E22" s="9" t="str">
        <f>Лист1!G27</f>
        <v>Алашанкоу</v>
      </c>
      <c r="F22" s="9" t="s">
        <v>53</v>
      </c>
      <c r="G22" s="16">
        <f>Лист1!D27</f>
        <v>4100</v>
      </c>
      <c r="H22" s="9"/>
      <c r="I22" s="9" t="str">
        <f>Лист1!$C$27</f>
        <v>Электроугли</v>
      </c>
      <c r="J22" s="9"/>
      <c r="K22" s="9"/>
      <c r="L22" s="9"/>
      <c r="M22" s="9"/>
      <c r="N22" s="10">
        <f t="shared" si="0"/>
        <v>45767</v>
      </c>
      <c r="O22" s="9"/>
      <c r="P22" s="11" t="str">
        <f>Лист1!$E$27</f>
        <v>16.04, 18.04, 20.04, 22.04, 23.04</v>
      </c>
    </row>
    <row r="23" spans="1:16" ht="17" x14ac:dyDescent="0.2">
      <c r="A23" s="9" t="s">
        <v>50</v>
      </c>
      <c r="B23" s="9" t="str">
        <f>Лист1!$D$9</f>
        <v>FOB</v>
      </c>
      <c r="C23" s="9" t="s">
        <v>54</v>
      </c>
      <c r="D23" s="9" t="str">
        <f>Лист1!B28</f>
        <v>Ningbo</v>
      </c>
      <c r="E23" s="9" t="str">
        <f>Лист1!G28</f>
        <v>Алашанкоу</v>
      </c>
      <c r="F23" s="9" t="s">
        <v>53</v>
      </c>
      <c r="G23" s="16">
        <f>Лист1!D28</f>
        <v>4160</v>
      </c>
      <c r="H23" s="9"/>
      <c r="I23" s="9" t="str">
        <f>Лист1!$C$27</f>
        <v>Электроугли</v>
      </c>
      <c r="J23" s="9"/>
      <c r="K23" s="9"/>
      <c r="L23" s="9"/>
      <c r="M23" s="9"/>
      <c r="N23" s="10">
        <f t="shared" si="0"/>
        <v>45767</v>
      </c>
      <c r="O23" s="9"/>
      <c r="P23" s="11" t="str">
        <f>Лист1!$E$27</f>
        <v>16.04, 18.04, 20.04, 22.04, 23.04</v>
      </c>
    </row>
    <row r="24" spans="1:16" ht="17" x14ac:dyDescent="0.2">
      <c r="A24" s="9" t="s">
        <v>50</v>
      </c>
      <c r="B24" s="9" t="str">
        <f>Лист1!$D$9</f>
        <v>FOB</v>
      </c>
      <c r="C24" s="9" t="s">
        <v>54</v>
      </c>
      <c r="D24" s="9" t="str">
        <f>Лист1!B29</f>
        <v>Qingdao</v>
      </c>
      <c r="E24" s="9" t="str">
        <f>Лист1!G29</f>
        <v>Алашанкоу</v>
      </c>
      <c r="F24" s="9" t="s">
        <v>53</v>
      </c>
      <c r="G24" s="16">
        <f>Лист1!D29</f>
        <v>3970</v>
      </c>
      <c r="H24" s="9"/>
      <c r="I24" s="9" t="str">
        <f>Лист1!$C$27</f>
        <v>Электроугли</v>
      </c>
      <c r="J24" s="9"/>
      <c r="K24" s="9"/>
      <c r="L24" s="9"/>
      <c r="M24" s="9"/>
      <c r="N24" s="10">
        <f t="shared" si="0"/>
        <v>45767</v>
      </c>
      <c r="O24" s="9"/>
      <c r="P24" s="11" t="str">
        <f>Лист1!$E$27</f>
        <v>16.04, 18.04, 20.04, 22.04, 23.04</v>
      </c>
    </row>
    <row r="25" spans="1:16" ht="17" x14ac:dyDescent="0.2">
      <c r="A25" s="9" t="s">
        <v>50</v>
      </c>
      <c r="B25" s="9" t="str">
        <f>Лист1!$D$9</f>
        <v>FOB</v>
      </c>
      <c r="C25" s="9" t="s">
        <v>54</v>
      </c>
      <c r="D25" s="9" t="str">
        <f>Лист1!B30</f>
        <v>Tianjin</v>
      </c>
      <c r="E25" s="9" t="str">
        <f>Лист1!G30</f>
        <v>Алашанкоу</v>
      </c>
      <c r="F25" s="9" t="s">
        <v>53</v>
      </c>
      <c r="G25" s="16">
        <f>Лист1!D30</f>
        <v>4020</v>
      </c>
      <c r="H25" s="9"/>
      <c r="I25" s="9" t="str">
        <f>Лист1!$C$27</f>
        <v>Электроугли</v>
      </c>
      <c r="J25" s="9"/>
      <c r="K25" s="9"/>
      <c r="L25" s="9"/>
      <c r="M25" s="9"/>
      <c r="N25" s="10">
        <f t="shared" si="0"/>
        <v>45767</v>
      </c>
      <c r="O25" s="9"/>
      <c r="P25" s="11" t="str">
        <f>Лист1!$E$27</f>
        <v>16.04, 18.04, 20.04, 22.04, 23.04</v>
      </c>
    </row>
    <row r="26" spans="1:16" x14ac:dyDescent="0.2">
      <c r="A26" s="9" t="s">
        <v>50</v>
      </c>
      <c r="B26" s="9" t="str">
        <f>Лист1!$D$9</f>
        <v>FOB</v>
      </c>
      <c r="C26" s="9" t="s">
        <v>54</v>
      </c>
      <c r="D26" s="9" t="str">
        <f>Лист1!B32</f>
        <v>Shanghai</v>
      </c>
      <c r="E26" s="9" t="str">
        <f>Лист1!G32</f>
        <v>Эрлянь</v>
      </c>
      <c r="F26" s="9" t="s">
        <v>53</v>
      </c>
      <c r="G26" s="16">
        <f>Лист1!D32</f>
        <v>4550</v>
      </c>
      <c r="H26" s="9"/>
      <c r="I26" s="9" t="str">
        <f>Лист1!$C$32</f>
        <v>Электроугли</v>
      </c>
      <c r="J26" s="9"/>
      <c r="K26" s="9"/>
      <c r="L26" s="9"/>
      <c r="M26" s="9"/>
      <c r="N26" s="10">
        <f t="shared" si="0"/>
        <v>45767</v>
      </c>
      <c r="O26" s="9"/>
      <c r="P26" s="11">
        <f>Лист1!$E$32</f>
        <v>45766</v>
      </c>
    </row>
    <row r="27" spans="1:16" x14ac:dyDescent="0.2">
      <c r="A27" s="9" t="s">
        <v>50</v>
      </c>
      <c r="B27" s="9" t="str">
        <f>Лист1!$D$9</f>
        <v>FOB</v>
      </c>
      <c r="C27" s="9" t="s">
        <v>54</v>
      </c>
      <c r="D27" s="9" t="str">
        <f>Лист1!B33</f>
        <v>Ningbo</v>
      </c>
      <c r="E27" s="9" t="str">
        <f>Лист1!G33</f>
        <v>Эрлянь</v>
      </c>
      <c r="F27" s="9" t="s">
        <v>53</v>
      </c>
      <c r="G27" s="16">
        <f>Лист1!D33</f>
        <v>4750</v>
      </c>
      <c r="H27" s="9"/>
      <c r="I27" s="9" t="str">
        <f>Лист1!$C$32</f>
        <v>Электроугли</v>
      </c>
      <c r="J27" s="9"/>
      <c r="K27" s="9"/>
      <c r="L27" s="9"/>
      <c r="M27" s="9"/>
      <c r="N27" s="10">
        <f t="shared" si="0"/>
        <v>45767</v>
      </c>
      <c r="O27" s="9"/>
      <c r="P27" s="11">
        <f>Лист1!$E$32</f>
        <v>45766</v>
      </c>
    </row>
    <row r="28" spans="1:16" x14ac:dyDescent="0.2">
      <c r="A28" s="9" t="s">
        <v>50</v>
      </c>
      <c r="B28" s="9" t="str">
        <f>Лист1!$D$9</f>
        <v>FOB</v>
      </c>
      <c r="C28" s="9" t="s">
        <v>54</v>
      </c>
      <c r="D28" s="9" t="str">
        <f>Лист1!B34</f>
        <v>Wuxi</v>
      </c>
      <c r="E28" s="9" t="str">
        <f>Лист1!G34</f>
        <v>Эрлянь</v>
      </c>
      <c r="F28" s="9" t="s">
        <v>53</v>
      </c>
      <c r="G28" s="16">
        <f>Лист1!D34</f>
        <v>4600</v>
      </c>
      <c r="H28" s="9"/>
      <c r="I28" s="9" t="str">
        <f>Лист1!$C$32</f>
        <v>Электроугли</v>
      </c>
      <c r="J28" s="9"/>
      <c r="K28" s="9"/>
      <c r="L28" s="9"/>
      <c r="M28" s="9"/>
      <c r="N28" s="10">
        <f t="shared" si="0"/>
        <v>45767</v>
      </c>
      <c r="O28" s="9"/>
      <c r="P28" s="11">
        <f>Лист1!$E$32</f>
        <v>45766</v>
      </c>
    </row>
    <row r="29" spans="1:16" x14ac:dyDescent="0.2">
      <c r="A29" s="9" t="s">
        <v>50</v>
      </c>
      <c r="B29" s="9" t="str">
        <f>Лист1!$D$9</f>
        <v>FOB</v>
      </c>
      <c r="C29" s="9" t="s">
        <v>54</v>
      </c>
      <c r="D29" s="9" t="str">
        <f>Лист1!B35</f>
        <v>Suzhou</v>
      </c>
      <c r="E29" s="9" t="str">
        <f>Лист1!G35</f>
        <v>Эрлянь</v>
      </c>
      <c r="F29" s="9" t="s">
        <v>53</v>
      </c>
      <c r="G29" s="16">
        <f>Лист1!D35</f>
        <v>4500</v>
      </c>
      <c r="H29" s="9"/>
      <c r="I29" s="9" t="str">
        <f>Лист1!$C$32</f>
        <v>Электроугли</v>
      </c>
      <c r="J29" s="9"/>
      <c r="K29" s="9"/>
      <c r="L29" s="9"/>
      <c r="M29" s="9"/>
      <c r="N29" s="10">
        <f t="shared" si="0"/>
        <v>45767</v>
      </c>
      <c r="O29" s="9"/>
      <c r="P29" s="11">
        <f>Лист1!$E$32</f>
        <v>45766</v>
      </c>
    </row>
    <row r="30" spans="1:16" x14ac:dyDescent="0.2">
      <c r="A30" s="9" t="str">
        <f>A2</f>
        <v>жд</v>
      </c>
      <c r="B30" s="9" t="s">
        <v>55</v>
      </c>
      <c r="C30" s="9" t="str">
        <f t="shared" ref="C30:P30" si="1">C2</f>
        <v>40 HC</v>
      </c>
      <c r="D30" s="9" t="str">
        <f t="shared" si="1"/>
        <v>Tianjin</v>
      </c>
      <c r="E30" s="9" t="str">
        <f t="shared" si="1"/>
        <v>Эрлянь</v>
      </c>
      <c r="F30" s="9" t="str">
        <f t="shared" si="1"/>
        <v>Москва</v>
      </c>
      <c r="G30" s="16">
        <f>G2+450</f>
        <v>4400</v>
      </c>
      <c r="H30" s="9">
        <f t="shared" si="1"/>
        <v>0</v>
      </c>
      <c r="I30" s="9" t="str">
        <f t="shared" si="1"/>
        <v>Купавна/ Электроугли</v>
      </c>
      <c r="J30" s="9"/>
      <c r="K30" s="9"/>
      <c r="L30" s="9"/>
      <c r="M30" s="9"/>
      <c r="N30" s="10">
        <f t="shared" si="1"/>
        <v>45767</v>
      </c>
      <c r="O30" s="9">
        <f t="shared" si="1"/>
        <v>0</v>
      </c>
      <c r="P30" s="11">
        <f t="shared" si="1"/>
        <v>45767</v>
      </c>
    </row>
    <row r="31" spans="1:16" x14ac:dyDescent="0.2">
      <c r="A31" s="9" t="str">
        <f t="shared" ref="A31:A85" si="2">A3</f>
        <v>жд</v>
      </c>
      <c r="B31" s="9" t="s">
        <v>55</v>
      </c>
      <c r="C31" s="9" t="str">
        <f t="shared" ref="C31:F31" si="3">C3</f>
        <v>40 HC</v>
      </c>
      <c r="D31" s="9" t="str">
        <f t="shared" si="3"/>
        <v>Qingdao</v>
      </c>
      <c r="E31" s="9" t="str">
        <f t="shared" si="3"/>
        <v>Эрлянь</v>
      </c>
      <c r="F31" s="9" t="str">
        <f t="shared" si="3"/>
        <v>Москва</v>
      </c>
      <c r="G31" s="16">
        <f t="shared" ref="G31:G54" si="4">G3+450</f>
        <v>4400</v>
      </c>
      <c r="H31" s="9">
        <f t="shared" ref="H31:N31" si="5">H3</f>
        <v>0</v>
      </c>
      <c r="I31" s="9" t="str">
        <f t="shared" si="5"/>
        <v>Купавна/ Электроугли</v>
      </c>
      <c r="J31" s="9"/>
      <c r="K31" s="9"/>
      <c r="L31" s="9"/>
      <c r="M31" s="9"/>
      <c r="N31" s="10">
        <f t="shared" si="5"/>
        <v>45767</v>
      </c>
      <c r="O31" s="9"/>
      <c r="P31" s="11">
        <f t="shared" ref="P31" si="6">P3</f>
        <v>45767</v>
      </c>
    </row>
    <row r="32" spans="1:16" x14ac:dyDescent="0.2">
      <c r="A32" s="9" t="str">
        <f t="shared" si="2"/>
        <v>жд</v>
      </c>
      <c r="B32" s="9" t="s">
        <v>55</v>
      </c>
      <c r="C32" s="9" t="str">
        <f t="shared" ref="C32:F32" si="7">C4</f>
        <v>40 HC</v>
      </c>
      <c r="D32" s="9" t="str">
        <f t="shared" si="7"/>
        <v>Shanghai/Ningbo</v>
      </c>
      <c r="E32" s="9" t="str">
        <f t="shared" si="7"/>
        <v>Эрлянь</v>
      </c>
      <c r="F32" s="9" t="str">
        <f t="shared" si="7"/>
        <v>Москва</v>
      </c>
      <c r="G32" s="16">
        <f t="shared" si="4"/>
        <v>4250</v>
      </c>
      <c r="H32" s="9">
        <f t="shared" ref="H32:N32" si="8">H4</f>
        <v>0</v>
      </c>
      <c r="I32" s="9" t="str">
        <f t="shared" si="8"/>
        <v>Купавна/ Электроугли</v>
      </c>
      <c r="J32" s="9"/>
      <c r="K32" s="9"/>
      <c r="L32" s="9"/>
      <c r="M32" s="9"/>
      <c r="N32" s="10">
        <f t="shared" si="8"/>
        <v>45767</v>
      </c>
      <c r="O32" s="9"/>
      <c r="P32" s="11">
        <f t="shared" ref="P32" si="9">P4</f>
        <v>45767</v>
      </c>
    </row>
    <row r="33" spans="1:16" x14ac:dyDescent="0.2">
      <c r="A33" s="9" t="str">
        <f t="shared" si="2"/>
        <v>жд</v>
      </c>
      <c r="B33" s="9" t="s">
        <v>55</v>
      </c>
      <c r="C33" s="9" t="str">
        <f t="shared" ref="C33:F33" si="10">C5</f>
        <v>40 HC</v>
      </c>
      <c r="D33" s="9" t="str">
        <f t="shared" si="10"/>
        <v>Hefei Wenzhou</v>
      </c>
      <c r="E33" s="9" t="str">
        <f t="shared" si="10"/>
        <v>Эрлянь</v>
      </c>
      <c r="F33" s="9" t="str">
        <f t="shared" si="10"/>
        <v>Москва</v>
      </c>
      <c r="G33" s="16">
        <f t="shared" si="4"/>
        <v>4450</v>
      </c>
      <c r="H33" s="9">
        <f t="shared" ref="H33:N33" si="11">H5</f>
        <v>0</v>
      </c>
      <c r="I33" s="9" t="str">
        <f t="shared" si="11"/>
        <v>Купавна/ Электроугли</v>
      </c>
      <c r="J33" s="9"/>
      <c r="K33" s="9"/>
      <c r="L33" s="9"/>
      <c r="M33" s="9"/>
      <c r="N33" s="10">
        <f t="shared" si="11"/>
        <v>45767</v>
      </c>
      <c r="O33" s="9"/>
      <c r="P33" s="11">
        <f t="shared" ref="P33" si="12">P5</f>
        <v>45767</v>
      </c>
    </row>
    <row r="34" spans="1:16" x14ac:dyDescent="0.2">
      <c r="A34" s="9" t="str">
        <f t="shared" si="2"/>
        <v>жд</v>
      </c>
      <c r="B34" s="9" t="s">
        <v>55</v>
      </c>
      <c r="C34" s="9" t="str">
        <f t="shared" ref="C34:F34" si="13">C6</f>
        <v>40 HC</v>
      </c>
      <c r="D34" s="9" t="str">
        <f t="shared" si="13"/>
        <v>Weifang</v>
      </c>
      <c r="E34" s="9" t="str">
        <f t="shared" si="13"/>
        <v>Эрлянь</v>
      </c>
      <c r="F34" s="9" t="str">
        <f t="shared" si="13"/>
        <v>Москва</v>
      </c>
      <c r="G34" s="16">
        <f t="shared" si="4"/>
        <v>4450</v>
      </c>
      <c r="H34" s="9">
        <f t="shared" ref="H34:N34" si="14">H6</f>
        <v>0</v>
      </c>
      <c r="I34" s="9" t="str">
        <f t="shared" si="14"/>
        <v>Купавна/ Электроугли</v>
      </c>
      <c r="J34" s="9"/>
      <c r="K34" s="9"/>
      <c r="L34" s="9"/>
      <c r="M34" s="9"/>
      <c r="N34" s="10">
        <f t="shared" si="14"/>
        <v>45767</v>
      </c>
      <c r="O34" s="9"/>
      <c r="P34" s="11">
        <f t="shared" ref="P34" si="15">P6</f>
        <v>45767</v>
      </c>
    </row>
    <row r="35" spans="1:16" x14ac:dyDescent="0.2">
      <c r="A35" s="9" t="str">
        <f t="shared" si="2"/>
        <v>жд</v>
      </c>
      <c r="B35" s="9" t="s">
        <v>55</v>
      </c>
      <c r="C35" s="9" t="str">
        <f t="shared" ref="C35:F35" si="16">C7</f>
        <v>40 HC</v>
      </c>
      <c r="D35" s="9" t="str">
        <f t="shared" si="16"/>
        <v>Weihai</v>
      </c>
      <c r="E35" s="9" t="str">
        <f t="shared" si="16"/>
        <v>Эрлянь</v>
      </c>
      <c r="F35" s="9" t="str">
        <f t="shared" si="16"/>
        <v>Москва</v>
      </c>
      <c r="G35" s="16">
        <f t="shared" si="4"/>
        <v>4500</v>
      </c>
      <c r="H35" s="9">
        <f t="shared" ref="H35:N35" si="17">H7</f>
        <v>0</v>
      </c>
      <c r="I35" s="9" t="str">
        <f t="shared" si="17"/>
        <v>Купавна/ Электроугли</v>
      </c>
      <c r="J35" s="9"/>
      <c r="K35" s="9"/>
      <c r="L35" s="9"/>
      <c r="M35" s="9"/>
      <c r="N35" s="10">
        <f t="shared" si="17"/>
        <v>45767</v>
      </c>
      <c r="O35" s="9"/>
      <c r="P35" s="11">
        <f t="shared" ref="P35" si="18">P7</f>
        <v>45767</v>
      </c>
    </row>
    <row r="36" spans="1:16" x14ac:dyDescent="0.2">
      <c r="A36" s="9" t="str">
        <f t="shared" si="2"/>
        <v>жд</v>
      </c>
      <c r="B36" s="9" t="s">
        <v>55</v>
      </c>
      <c r="C36" s="9" t="str">
        <f t="shared" ref="C36:F36" si="19">C8</f>
        <v>40 HC</v>
      </c>
      <c r="D36" s="9" t="str">
        <f t="shared" si="19"/>
        <v>Guangzhou</v>
      </c>
      <c r="E36" s="9" t="str">
        <f t="shared" si="19"/>
        <v>Эрлянь</v>
      </c>
      <c r="F36" s="9" t="str">
        <f t="shared" si="19"/>
        <v>Москва</v>
      </c>
      <c r="G36" s="16">
        <f t="shared" si="4"/>
        <v>4600</v>
      </c>
      <c r="H36" s="9">
        <f t="shared" ref="H36:N36" si="20">H8</f>
        <v>0</v>
      </c>
      <c r="I36" s="9" t="str">
        <f t="shared" si="20"/>
        <v>Электроугли</v>
      </c>
      <c r="J36" s="9"/>
      <c r="K36" s="9"/>
      <c r="L36" s="9"/>
      <c r="M36" s="9"/>
      <c r="N36" s="10">
        <f t="shared" si="20"/>
        <v>45767</v>
      </c>
      <c r="O36" s="9"/>
      <c r="P36" s="11">
        <f t="shared" ref="P36" si="21">P8</f>
        <v>45762</v>
      </c>
    </row>
    <row r="37" spans="1:16" x14ac:dyDescent="0.2">
      <c r="A37" s="9" t="str">
        <f t="shared" si="2"/>
        <v>жд</v>
      </c>
      <c r="B37" s="9" t="s">
        <v>55</v>
      </c>
      <c r="C37" s="9" t="str">
        <f t="shared" ref="C37:F37" si="22">C9</f>
        <v>40 HC</v>
      </c>
      <c r="D37" s="9" t="str">
        <f t="shared" si="22"/>
        <v>Shenshen</v>
      </c>
      <c r="E37" s="9" t="str">
        <f t="shared" si="22"/>
        <v>Эрлянь</v>
      </c>
      <c r="F37" s="9" t="str">
        <f t="shared" si="22"/>
        <v>Москва</v>
      </c>
      <c r="G37" s="16">
        <f t="shared" si="4"/>
        <v>4600</v>
      </c>
      <c r="H37" s="9">
        <f t="shared" ref="H37:N37" si="23">H9</f>
        <v>0</v>
      </c>
      <c r="I37" s="9" t="str">
        <f t="shared" si="23"/>
        <v>Электроугли</v>
      </c>
      <c r="J37" s="9"/>
      <c r="K37" s="9"/>
      <c r="L37" s="9"/>
      <c r="M37" s="9"/>
      <c r="N37" s="10">
        <f t="shared" si="23"/>
        <v>45767</v>
      </c>
      <c r="O37" s="9"/>
      <c r="P37" s="11">
        <f t="shared" ref="P37" si="24">P9</f>
        <v>45762</v>
      </c>
    </row>
    <row r="38" spans="1:16" x14ac:dyDescent="0.2">
      <c r="A38" s="9" t="str">
        <f t="shared" si="2"/>
        <v>жд</v>
      </c>
      <c r="B38" s="9" t="s">
        <v>55</v>
      </c>
      <c r="C38" s="9" t="str">
        <f t="shared" ref="C38:F38" si="25">C10</f>
        <v>40 HC</v>
      </c>
      <c r="D38" s="9" t="str">
        <f t="shared" si="25"/>
        <v>Zhongshan</v>
      </c>
      <c r="E38" s="9" t="str">
        <f t="shared" si="25"/>
        <v>Эрлянь</v>
      </c>
      <c r="F38" s="9" t="str">
        <f t="shared" si="25"/>
        <v>Москва</v>
      </c>
      <c r="G38" s="16">
        <f t="shared" si="4"/>
        <v>4600</v>
      </c>
      <c r="H38" s="9">
        <f t="shared" ref="H38:N38" si="26">H10</f>
        <v>0</v>
      </c>
      <c r="I38" s="9" t="str">
        <f t="shared" si="26"/>
        <v>Электроугли</v>
      </c>
      <c r="J38" s="9"/>
      <c r="K38" s="9"/>
      <c r="L38" s="9"/>
      <c r="M38" s="9"/>
      <c r="N38" s="10">
        <f t="shared" si="26"/>
        <v>45767</v>
      </c>
      <c r="O38" s="9"/>
      <c r="P38" s="11">
        <f t="shared" ref="P38" si="27">P10</f>
        <v>45762</v>
      </c>
    </row>
    <row r="39" spans="1:16" x14ac:dyDescent="0.2">
      <c r="A39" s="9" t="str">
        <f t="shared" si="2"/>
        <v>жд</v>
      </c>
      <c r="B39" s="9" t="s">
        <v>55</v>
      </c>
      <c r="C39" s="9" t="str">
        <f t="shared" ref="C39:F39" si="28">C11</f>
        <v>40 HC</v>
      </c>
      <c r="D39" s="9" t="str">
        <f t="shared" si="28"/>
        <v>Zhuhai</v>
      </c>
      <c r="E39" s="9" t="str">
        <f t="shared" si="28"/>
        <v>Эрлянь</v>
      </c>
      <c r="F39" s="9" t="str">
        <f t="shared" si="28"/>
        <v>Москва</v>
      </c>
      <c r="G39" s="16">
        <f t="shared" si="4"/>
        <v>4600</v>
      </c>
      <c r="H39" s="9">
        <f t="shared" ref="H39:N39" si="29">H11</f>
        <v>0</v>
      </c>
      <c r="I39" s="9" t="str">
        <f t="shared" si="29"/>
        <v>Электроугли</v>
      </c>
      <c r="J39" s="9"/>
      <c r="K39" s="9"/>
      <c r="L39" s="9"/>
      <c r="M39" s="9"/>
      <c r="N39" s="10">
        <f t="shared" si="29"/>
        <v>45767</v>
      </c>
      <c r="O39" s="9"/>
      <c r="P39" s="11">
        <f t="shared" ref="P39" si="30">P11</f>
        <v>45762</v>
      </c>
    </row>
    <row r="40" spans="1:16" x14ac:dyDescent="0.2">
      <c r="A40" s="9" t="str">
        <f t="shared" si="2"/>
        <v>жд</v>
      </c>
      <c r="B40" s="9" t="s">
        <v>55</v>
      </c>
      <c r="C40" s="9" t="str">
        <f t="shared" ref="C40:F40" si="31">C12</f>
        <v>40 HC</v>
      </c>
      <c r="D40" s="9" t="str">
        <f t="shared" si="31"/>
        <v>Ningbo</v>
      </c>
      <c r="E40" s="9" t="str">
        <f t="shared" si="31"/>
        <v>Эрлянь</v>
      </c>
      <c r="F40" s="9" t="str">
        <f t="shared" si="31"/>
        <v>Москва</v>
      </c>
      <c r="G40" s="16">
        <f t="shared" si="4"/>
        <v>4800</v>
      </c>
      <c r="H40" s="9">
        <f t="shared" ref="H40:N40" si="32">H12</f>
        <v>0</v>
      </c>
      <c r="I40" s="9" t="str">
        <f t="shared" si="32"/>
        <v>Белый Раст</v>
      </c>
      <c r="J40" s="9"/>
      <c r="K40" s="9"/>
      <c r="L40" s="9"/>
      <c r="M40" s="9"/>
      <c r="N40" s="10">
        <f t="shared" si="32"/>
        <v>45767</v>
      </c>
      <c r="O40" s="9"/>
      <c r="P40" s="11">
        <f t="shared" ref="P40" si="33">P12</f>
        <v>45761</v>
      </c>
    </row>
    <row r="41" spans="1:16" x14ac:dyDescent="0.2">
      <c r="A41" s="9" t="str">
        <f t="shared" si="2"/>
        <v>жд</v>
      </c>
      <c r="B41" s="9" t="s">
        <v>55</v>
      </c>
      <c r="C41" s="9" t="str">
        <f t="shared" ref="C41:F41" si="34">C13</f>
        <v>40 HC</v>
      </c>
      <c r="D41" s="9" t="str">
        <f t="shared" si="34"/>
        <v>Shanghai</v>
      </c>
      <c r="E41" s="9" t="str">
        <f t="shared" si="34"/>
        <v>Эрлянь</v>
      </c>
      <c r="F41" s="9" t="str">
        <f t="shared" si="34"/>
        <v>Москва</v>
      </c>
      <c r="G41" s="16">
        <f t="shared" si="4"/>
        <v>4950</v>
      </c>
      <c r="H41" s="9">
        <f t="shared" ref="H41:N41" si="35">H13</f>
        <v>0</v>
      </c>
      <c r="I41" s="9" t="str">
        <f t="shared" si="35"/>
        <v>Белый Раст</v>
      </c>
      <c r="J41" s="9"/>
      <c r="K41" s="9"/>
      <c r="L41" s="9"/>
      <c r="M41" s="9"/>
      <c r="N41" s="10">
        <f t="shared" si="35"/>
        <v>45767</v>
      </c>
      <c r="O41" s="9"/>
      <c r="P41" s="11">
        <f t="shared" ref="P41" si="36">P13</f>
        <v>45761</v>
      </c>
    </row>
    <row r="42" spans="1:16" x14ac:dyDescent="0.2">
      <c r="A42" s="9" t="str">
        <f t="shared" si="2"/>
        <v>жд</v>
      </c>
      <c r="B42" s="9" t="s">
        <v>55</v>
      </c>
      <c r="C42" s="9" t="str">
        <f t="shared" ref="C42:F42" si="37">C14</f>
        <v>40 HC</v>
      </c>
      <c r="D42" s="9" t="str">
        <f t="shared" si="37"/>
        <v>Jinhua</v>
      </c>
      <c r="E42" s="9" t="str">
        <f t="shared" si="37"/>
        <v>Эрлянь</v>
      </c>
      <c r="F42" s="9" t="str">
        <f t="shared" si="37"/>
        <v>Москва</v>
      </c>
      <c r="G42" s="16">
        <f t="shared" si="4"/>
        <v>4700</v>
      </c>
      <c r="H42" s="9">
        <f t="shared" ref="H42:N42" si="38">H14</f>
        <v>0</v>
      </c>
      <c r="I42" s="9" t="str">
        <f t="shared" si="38"/>
        <v>Белый Раст</v>
      </c>
      <c r="J42" s="9"/>
      <c r="K42" s="9"/>
      <c r="L42" s="9"/>
      <c r="M42" s="9"/>
      <c r="N42" s="10">
        <f t="shared" si="38"/>
        <v>45767</v>
      </c>
      <c r="O42" s="9"/>
      <c r="P42" s="11">
        <f t="shared" ref="P42" si="39">P14</f>
        <v>45761</v>
      </c>
    </row>
    <row r="43" spans="1:16" x14ac:dyDescent="0.2">
      <c r="A43" s="9" t="str">
        <f t="shared" si="2"/>
        <v>жд</v>
      </c>
      <c r="B43" s="9" t="s">
        <v>55</v>
      </c>
      <c r="C43" s="9" t="str">
        <f t="shared" ref="C43:F43" si="40">C15</f>
        <v>40 HC</v>
      </c>
      <c r="D43" s="9" t="str">
        <f t="shared" si="40"/>
        <v>Yiwu</v>
      </c>
      <c r="E43" s="9" t="str">
        <f t="shared" si="40"/>
        <v>Эрлянь</v>
      </c>
      <c r="F43" s="9" t="str">
        <f t="shared" si="40"/>
        <v>Москва</v>
      </c>
      <c r="G43" s="16">
        <f t="shared" si="4"/>
        <v>4650</v>
      </c>
      <c r="H43" s="9">
        <f t="shared" ref="H43:N43" si="41">H15</f>
        <v>0</v>
      </c>
      <c r="I43" s="9" t="str">
        <f t="shared" si="41"/>
        <v>Белый Раст</v>
      </c>
      <c r="J43" s="9"/>
      <c r="K43" s="9"/>
      <c r="L43" s="9"/>
      <c r="M43" s="9"/>
      <c r="N43" s="10">
        <f t="shared" si="41"/>
        <v>45767</v>
      </c>
      <c r="O43" s="9"/>
      <c r="P43" s="11">
        <f t="shared" ref="P43:P65" si="42">P15</f>
        <v>45761</v>
      </c>
    </row>
    <row r="44" spans="1:16" x14ac:dyDescent="0.2">
      <c r="A44" s="9" t="str">
        <f t="shared" si="2"/>
        <v>жд</v>
      </c>
      <c r="B44" s="9" t="s">
        <v>55</v>
      </c>
      <c r="C44" s="9" t="str">
        <f t="shared" ref="C44:F44" si="43">C16</f>
        <v>40 HC</v>
      </c>
      <c r="D44" s="9" t="str">
        <f t="shared" si="43"/>
        <v>Shanghai</v>
      </c>
      <c r="E44" s="9" t="str">
        <f t="shared" si="43"/>
        <v>Алашанкоу</v>
      </c>
      <c r="F44" s="9" t="str">
        <f t="shared" si="43"/>
        <v>Москва</v>
      </c>
      <c r="G44" s="16">
        <f t="shared" si="4"/>
        <v>4600</v>
      </c>
      <c r="H44" s="9">
        <f t="shared" ref="H44:N44" si="44">H16</f>
        <v>0</v>
      </c>
      <c r="I44" s="9" t="str">
        <f t="shared" si="44"/>
        <v>Электроугли</v>
      </c>
      <c r="J44" s="9"/>
      <c r="K44" s="9"/>
      <c r="L44" s="9"/>
      <c r="M44" s="9"/>
      <c r="N44" s="10">
        <f t="shared" si="44"/>
        <v>45767</v>
      </c>
      <c r="O44" s="9"/>
      <c r="P44" s="11" t="str">
        <f t="shared" si="42"/>
        <v>18.04, 21.04, 23.04, 25.04, 30.04</v>
      </c>
    </row>
    <row r="45" spans="1:16" x14ac:dyDescent="0.2">
      <c r="A45" s="9" t="str">
        <f t="shared" si="2"/>
        <v>жд</v>
      </c>
      <c r="B45" s="9" t="s">
        <v>55</v>
      </c>
      <c r="C45" s="9" t="str">
        <f t="shared" ref="C45:F45" si="45">C17</f>
        <v>40 HC</v>
      </c>
      <c r="D45" s="9" t="str">
        <f t="shared" si="45"/>
        <v>Ningbo</v>
      </c>
      <c r="E45" s="9" t="str">
        <f t="shared" si="45"/>
        <v>Алашанкоу</v>
      </c>
      <c r="F45" s="9" t="str">
        <f t="shared" si="45"/>
        <v>Москва</v>
      </c>
      <c r="G45" s="16">
        <f t="shared" si="4"/>
        <v>4750</v>
      </c>
      <c r="H45" s="9">
        <f t="shared" ref="H45:N45" si="46">H17</f>
        <v>0</v>
      </c>
      <c r="I45" s="9" t="str">
        <f t="shared" si="46"/>
        <v>Электроугли</v>
      </c>
      <c r="J45" s="9"/>
      <c r="K45" s="9"/>
      <c r="L45" s="9"/>
      <c r="M45" s="9"/>
      <c r="N45" s="10">
        <f t="shared" si="46"/>
        <v>45767</v>
      </c>
      <c r="O45" s="9"/>
      <c r="P45" s="11" t="str">
        <f t="shared" si="42"/>
        <v>18.04, 21.04, 23.04, 25.04, 30.04</v>
      </c>
    </row>
    <row r="46" spans="1:16" x14ac:dyDescent="0.2">
      <c r="A46" s="9" t="str">
        <f t="shared" si="2"/>
        <v>жд</v>
      </c>
      <c r="B46" s="9" t="s">
        <v>55</v>
      </c>
      <c r="C46" s="9" t="str">
        <f t="shared" ref="C46:F46" si="47">C18</f>
        <v>40 HC</v>
      </c>
      <c r="D46" s="9" t="str">
        <f t="shared" si="47"/>
        <v>Qingdao</v>
      </c>
      <c r="E46" s="9" t="str">
        <f t="shared" si="47"/>
        <v>Алашанкоу</v>
      </c>
      <c r="F46" s="9" t="str">
        <f t="shared" si="47"/>
        <v>Москва</v>
      </c>
      <c r="G46" s="16">
        <f t="shared" si="4"/>
        <v>4300</v>
      </c>
      <c r="H46" s="9">
        <f t="shared" ref="H46:N46" si="48">H18</f>
        <v>0</v>
      </c>
      <c r="I46" s="9" t="str">
        <f t="shared" si="48"/>
        <v>Электроугли</v>
      </c>
      <c r="J46" s="9"/>
      <c r="K46" s="9"/>
      <c r="L46" s="9"/>
      <c r="M46" s="9"/>
      <c r="N46" s="10">
        <f t="shared" si="48"/>
        <v>45767</v>
      </c>
      <c r="O46" s="9"/>
      <c r="P46" s="11" t="str">
        <f t="shared" si="42"/>
        <v>18.04, 21.04, 23.04, 25.04, 30.04</v>
      </c>
    </row>
    <row r="47" spans="1:16" x14ac:dyDescent="0.2">
      <c r="A47" s="9" t="str">
        <f t="shared" si="2"/>
        <v>жд</v>
      </c>
      <c r="B47" s="9" t="s">
        <v>55</v>
      </c>
      <c r="C47" s="9" t="str">
        <f t="shared" ref="C47:F47" si="49">C19</f>
        <v>40 HC</v>
      </c>
      <c r="D47" s="9" t="str">
        <f t="shared" si="49"/>
        <v>Tianjin</v>
      </c>
      <c r="E47" s="9" t="str">
        <f t="shared" si="49"/>
        <v>Алашанкоу</v>
      </c>
      <c r="F47" s="9" t="str">
        <f t="shared" si="49"/>
        <v>Москва</v>
      </c>
      <c r="G47" s="16">
        <f t="shared" si="4"/>
        <v>4400</v>
      </c>
      <c r="H47" s="9">
        <f t="shared" ref="H47:N47" si="50">H19</f>
        <v>0</v>
      </c>
      <c r="I47" s="9" t="str">
        <f t="shared" si="50"/>
        <v>Электроугли</v>
      </c>
      <c r="J47" s="9"/>
      <c r="K47" s="9"/>
      <c r="L47" s="9"/>
      <c r="M47" s="9"/>
      <c r="N47" s="10">
        <f t="shared" si="50"/>
        <v>45767</v>
      </c>
      <c r="O47" s="9"/>
      <c r="P47" s="11" t="str">
        <f t="shared" si="42"/>
        <v>18.04, 21.04, 23.04, 25.04, 30.04</v>
      </c>
    </row>
    <row r="48" spans="1:16" x14ac:dyDescent="0.2">
      <c r="A48" s="9" t="str">
        <f t="shared" si="2"/>
        <v>жд</v>
      </c>
      <c r="B48" s="9" t="s">
        <v>55</v>
      </c>
      <c r="C48" s="9" t="str">
        <f t="shared" ref="C48:F48" si="51">C20</f>
        <v>40 HC</v>
      </c>
      <c r="D48" s="9" t="str">
        <f t="shared" si="51"/>
        <v>Yiwu</v>
      </c>
      <c r="E48" s="9" t="str">
        <f t="shared" si="51"/>
        <v>Алашанкоу</v>
      </c>
      <c r="F48" s="9" t="str">
        <f t="shared" si="51"/>
        <v>Москва</v>
      </c>
      <c r="G48" s="16">
        <f t="shared" si="4"/>
        <v>4850</v>
      </c>
      <c r="H48" s="9">
        <f t="shared" ref="H48:N48" si="52">H20</f>
        <v>0</v>
      </c>
      <c r="I48" s="9" t="str">
        <f t="shared" si="52"/>
        <v>Электроугли</v>
      </c>
      <c r="J48" s="9"/>
      <c r="K48" s="9"/>
      <c r="L48" s="9"/>
      <c r="M48" s="9"/>
      <c r="N48" s="10">
        <f t="shared" si="52"/>
        <v>45767</v>
      </c>
      <c r="O48" s="9"/>
      <c r="P48" s="11" t="str">
        <f t="shared" si="42"/>
        <v>18.04, 21.04, 23.04, 25.04, 30.04</v>
      </c>
    </row>
    <row r="49" spans="1:16" x14ac:dyDescent="0.2">
      <c r="A49" s="9" t="str">
        <f t="shared" si="2"/>
        <v>жд</v>
      </c>
      <c r="B49" s="9" t="s">
        <v>55</v>
      </c>
      <c r="C49" s="9" t="str">
        <f t="shared" ref="C49:F49" si="53">C21</f>
        <v>40 HC</v>
      </c>
      <c r="D49" s="9" t="str">
        <f t="shared" si="53"/>
        <v>Zhengzhou</v>
      </c>
      <c r="E49" s="9" t="str">
        <f t="shared" si="53"/>
        <v>Алашанкоу</v>
      </c>
      <c r="F49" s="9" t="str">
        <f t="shared" si="53"/>
        <v>Москва</v>
      </c>
      <c r="G49" s="16">
        <f t="shared" si="4"/>
        <v>3900</v>
      </c>
      <c r="H49" s="9">
        <f t="shared" ref="H49:N49" si="54">H21</f>
        <v>0</v>
      </c>
      <c r="I49" s="9" t="str">
        <f t="shared" si="54"/>
        <v>Электроугли</v>
      </c>
      <c r="J49" s="9"/>
      <c r="K49" s="9"/>
      <c r="L49" s="9"/>
      <c r="M49" s="9"/>
      <c r="N49" s="10">
        <f t="shared" si="54"/>
        <v>45767</v>
      </c>
      <c r="O49" s="9"/>
      <c r="P49" s="11" t="str">
        <f t="shared" si="42"/>
        <v>18.04, 21.04, 23.04, 25.04, 30.04</v>
      </c>
    </row>
    <row r="50" spans="1:16" x14ac:dyDescent="0.2">
      <c r="A50" s="9" t="str">
        <f t="shared" si="2"/>
        <v>жд</v>
      </c>
      <c r="B50" s="9" t="s">
        <v>55</v>
      </c>
      <c r="C50" s="9" t="str">
        <f t="shared" ref="C50:F50" si="55">C22</f>
        <v>40 HC</v>
      </c>
      <c r="D50" s="9" t="str">
        <f t="shared" si="55"/>
        <v>Shanghai</v>
      </c>
      <c r="E50" s="9" t="str">
        <f t="shared" si="55"/>
        <v>Алашанкоу</v>
      </c>
      <c r="F50" s="9" t="str">
        <f t="shared" si="55"/>
        <v>Москва</v>
      </c>
      <c r="G50" s="16">
        <f t="shared" si="4"/>
        <v>4550</v>
      </c>
      <c r="H50" s="9">
        <f t="shared" ref="H50:N50" si="56">H22</f>
        <v>0</v>
      </c>
      <c r="I50" s="9" t="str">
        <f t="shared" si="56"/>
        <v>Электроугли</v>
      </c>
      <c r="J50" s="9"/>
      <c r="K50" s="9"/>
      <c r="L50" s="9"/>
      <c r="M50" s="9"/>
      <c r="N50" s="10">
        <f t="shared" si="56"/>
        <v>45767</v>
      </c>
      <c r="O50" s="9"/>
      <c r="P50" s="11" t="str">
        <f t="shared" si="42"/>
        <v>16.04, 18.04, 20.04, 22.04, 23.04</v>
      </c>
    </row>
    <row r="51" spans="1:16" x14ac:dyDescent="0.2">
      <c r="A51" s="9" t="str">
        <f t="shared" si="2"/>
        <v>жд</v>
      </c>
      <c r="B51" s="9" t="s">
        <v>55</v>
      </c>
      <c r="C51" s="9" t="str">
        <f t="shared" ref="C51:F51" si="57">C23</f>
        <v>40 HC</v>
      </c>
      <c r="D51" s="9" t="str">
        <f t="shared" si="57"/>
        <v>Ningbo</v>
      </c>
      <c r="E51" s="9" t="str">
        <f t="shared" si="57"/>
        <v>Алашанкоу</v>
      </c>
      <c r="F51" s="9" t="str">
        <f t="shared" si="57"/>
        <v>Москва</v>
      </c>
      <c r="G51" s="16">
        <f t="shared" si="4"/>
        <v>4610</v>
      </c>
      <c r="H51" s="9">
        <f t="shared" ref="H51:N51" si="58">H23</f>
        <v>0</v>
      </c>
      <c r="I51" s="9" t="str">
        <f t="shared" si="58"/>
        <v>Электроугли</v>
      </c>
      <c r="J51" s="9"/>
      <c r="K51" s="9"/>
      <c r="L51" s="9"/>
      <c r="M51" s="9"/>
      <c r="N51" s="10">
        <f t="shared" si="58"/>
        <v>45767</v>
      </c>
      <c r="O51" s="9"/>
      <c r="P51" s="11" t="str">
        <f t="shared" si="42"/>
        <v>16.04, 18.04, 20.04, 22.04, 23.04</v>
      </c>
    </row>
    <row r="52" spans="1:16" x14ac:dyDescent="0.2">
      <c r="A52" s="9" t="str">
        <f t="shared" si="2"/>
        <v>жд</v>
      </c>
      <c r="B52" s="9" t="s">
        <v>55</v>
      </c>
      <c r="C52" s="9" t="str">
        <f t="shared" ref="C52:F52" si="59">C24</f>
        <v>40 HC</v>
      </c>
      <c r="D52" s="9" t="str">
        <f t="shared" si="59"/>
        <v>Qingdao</v>
      </c>
      <c r="E52" s="9" t="str">
        <f t="shared" si="59"/>
        <v>Алашанкоу</v>
      </c>
      <c r="F52" s="9" t="str">
        <f t="shared" si="59"/>
        <v>Москва</v>
      </c>
      <c r="G52" s="16">
        <f t="shared" si="4"/>
        <v>4420</v>
      </c>
      <c r="H52" s="9">
        <f t="shared" ref="H52:N52" si="60">H24</f>
        <v>0</v>
      </c>
      <c r="I52" s="9" t="str">
        <f t="shared" si="60"/>
        <v>Электроугли</v>
      </c>
      <c r="J52" s="9"/>
      <c r="K52" s="9"/>
      <c r="L52" s="9"/>
      <c r="M52" s="9"/>
      <c r="N52" s="10">
        <f t="shared" si="60"/>
        <v>45767</v>
      </c>
      <c r="O52" s="9"/>
      <c r="P52" s="11" t="str">
        <f t="shared" si="42"/>
        <v>16.04, 18.04, 20.04, 22.04, 23.04</v>
      </c>
    </row>
    <row r="53" spans="1:16" x14ac:dyDescent="0.2">
      <c r="A53" s="9" t="str">
        <f t="shared" si="2"/>
        <v>жд</v>
      </c>
      <c r="B53" s="9" t="s">
        <v>55</v>
      </c>
      <c r="C53" s="9" t="str">
        <f t="shared" ref="C53:F53" si="61">C25</f>
        <v>40 HC</v>
      </c>
      <c r="D53" s="9" t="str">
        <f t="shared" si="61"/>
        <v>Tianjin</v>
      </c>
      <c r="E53" s="9" t="str">
        <f t="shared" si="61"/>
        <v>Алашанкоу</v>
      </c>
      <c r="F53" s="9" t="str">
        <f t="shared" si="61"/>
        <v>Москва</v>
      </c>
      <c r="G53" s="16">
        <f t="shared" si="4"/>
        <v>4470</v>
      </c>
      <c r="H53" s="9">
        <f t="shared" ref="H53:N53" si="62">H25</f>
        <v>0</v>
      </c>
      <c r="I53" s="9" t="str">
        <f t="shared" si="62"/>
        <v>Электроугли</v>
      </c>
      <c r="J53" s="9"/>
      <c r="K53" s="9"/>
      <c r="L53" s="9"/>
      <c r="M53" s="9"/>
      <c r="N53" s="10">
        <f t="shared" si="62"/>
        <v>45767</v>
      </c>
      <c r="O53" s="9"/>
      <c r="P53" s="11" t="str">
        <f t="shared" si="42"/>
        <v>16.04, 18.04, 20.04, 22.04, 23.04</v>
      </c>
    </row>
    <row r="54" spans="1:16" x14ac:dyDescent="0.2">
      <c r="A54" s="9" t="str">
        <f t="shared" si="2"/>
        <v>жд</v>
      </c>
      <c r="B54" s="9" t="s">
        <v>55</v>
      </c>
      <c r="C54" s="9" t="str">
        <f t="shared" ref="C54:F54" si="63">C26</f>
        <v>40 HC</v>
      </c>
      <c r="D54" s="9" t="str">
        <f t="shared" si="63"/>
        <v>Shanghai</v>
      </c>
      <c r="E54" s="9" t="str">
        <f t="shared" si="63"/>
        <v>Эрлянь</v>
      </c>
      <c r="F54" s="9" t="str">
        <f t="shared" si="63"/>
        <v>Москва</v>
      </c>
      <c r="G54" s="16">
        <f t="shared" si="4"/>
        <v>5000</v>
      </c>
      <c r="H54" s="9">
        <f t="shared" ref="H54:N54" si="64">H26</f>
        <v>0</v>
      </c>
      <c r="I54" s="9" t="str">
        <f t="shared" si="64"/>
        <v>Электроугли</v>
      </c>
      <c r="J54" s="9"/>
      <c r="K54" s="9"/>
      <c r="L54" s="9"/>
      <c r="M54" s="9"/>
      <c r="N54" s="10">
        <f t="shared" si="64"/>
        <v>45767</v>
      </c>
      <c r="O54" s="9"/>
      <c r="P54" s="11">
        <f t="shared" si="42"/>
        <v>45766</v>
      </c>
    </row>
    <row r="55" spans="1:16" x14ac:dyDescent="0.2">
      <c r="A55" s="9" t="str">
        <f t="shared" si="2"/>
        <v>жд</v>
      </c>
      <c r="B55" s="9" t="s">
        <v>55</v>
      </c>
      <c r="C55" s="9" t="str">
        <f t="shared" ref="C55:F55" si="65">C27</f>
        <v>40 HC</v>
      </c>
      <c r="D55" s="9" t="str">
        <f t="shared" si="65"/>
        <v>Ningbo</v>
      </c>
      <c r="E55" s="9" t="str">
        <f t="shared" si="65"/>
        <v>Эрлянь</v>
      </c>
      <c r="F55" s="9" t="str">
        <f t="shared" si="65"/>
        <v>Москва</v>
      </c>
      <c r="G55" s="16">
        <f t="shared" ref="G55:G57" si="66">G27+450</f>
        <v>5200</v>
      </c>
      <c r="H55" s="9">
        <f t="shared" ref="H55:N55" si="67">H27</f>
        <v>0</v>
      </c>
      <c r="I55" s="9" t="str">
        <f t="shared" si="67"/>
        <v>Электроугли</v>
      </c>
      <c r="J55" s="9"/>
      <c r="K55" s="9"/>
      <c r="L55" s="9"/>
      <c r="M55" s="9"/>
      <c r="N55" s="10">
        <f t="shared" si="67"/>
        <v>45767</v>
      </c>
      <c r="O55" s="9"/>
      <c r="P55" s="11">
        <f t="shared" si="42"/>
        <v>45766</v>
      </c>
    </row>
    <row r="56" spans="1:16" x14ac:dyDescent="0.2">
      <c r="A56" s="9" t="str">
        <f t="shared" si="2"/>
        <v>жд</v>
      </c>
      <c r="B56" s="9" t="s">
        <v>55</v>
      </c>
      <c r="C56" s="9" t="str">
        <f t="shared" ref="C56:F56" si="68">C28</f>
        <v>40 HC</v>
      </c>
      <c r="D56" s="9" t="str">
        <f t="shared" si="68"/>
        <v>Wuxi</v>
      </c>
      <c r="E56" s="9" t="str">
        <f t="shared" si="68"/>
        <v>Эрлянь</v>
      </c>
      <c r="F56" s="9" t="str">
        <f t="shared" si="68"/>
        <v>Москва</v>
      </c>
      <c r="G56" s="16">
        <f t="shared" si="66"/>
        <v>5050</v>
      </c>
      <c r="H56" s="9">
        <f t="shared" ref="H56:N56" si="69">H28</f>
        <v>0</v>
      </c>
      <c r="I56" s="9" t="str">
        <f t="shared" si="69"/>
        <v>Электроугли</v>
      </c>
      <c r="J56" s="9"/>
      <c r="K56" s="9"/>
      <c r="L56" s="9"/>
      <c r="M56" s="9"/>
      <c r="N56" s="10">
        <f t="shared" si="69"/>
        <v>45767</v>
      </c>
      <c r="O56" s="9"/>
      <c r="P56" s="11">
        <f t="shared" ref="P56" si="70">P28</f>
        <v>45766</v>
      </c>
    </row>
    <row r="57" spans="1:16" x14ac:dyDescent="0.2">
      <c r="A57" s="9" t="str">
        <f t="shared" si="2"/>
        <v>жд</v>
      </c>
      <c r="B57" s="9" t="s">
        <v>55</v>
      </c>
      <c r="C57" s="9" t="str">
        <f t="shared" ref="C57:F57" si="71">C29</f>
        <v>40 HC</v>
      </c>
      <c r="D57" s="9" t="str">
        <f t="shared" si="71"/>
        <v>Suzhou</v>
      </c>
      <c r="E57" s="9" t="str">
        <f t="shared" si="71"/>
        <v>Эрлянь</v>
      </c>
      <c r="F57" s="9" t="str">
        <f t="shared" si="71"/>
        <v>Москва</v>
      </c>
      <c r="G57" s="16">
        <f t="shared" si="66"/>
        <v>4950</v>
      </c>
      <c r="H57" s="9">
        <f t="shared" ref="H57:N57" si="72">H29</f>
        <v>0</v>
      </c>
      <c r="I57" s="9" t="str">
        <f t="shared" si="72"/>
        <v>Электроугли</v>
      </c>
      <c r="J57" s="9"/>
      <c r="K57" s="9"/>
      <c r="L57" s="9"/>
      <c r="M57" s="9"/>
      <c r="N57" s="10">
        <f t="shared" si="72"/>
        <v>45767</v>
      </c>
      <c r="O57" s="9"/>
      <c r="P57" s="11">
        <f t="shared" si="42"/>
        <v>45766</v>
      </c>
    </row>
    <row r="58" spans="1:16" s="12" customFormat="1" x14ac:dyDescent="0.2">
      <c r="A58" s="9" t="str">
        <f t="shared" si="2"/>
        <v>жд</v>
      </c>
      <c r="B58" s="9" t="s">
        <v>55</v>
      </c>
      <c r="C58" s="13" t="str">
        <f t="shared" ref="C58:F58" si="73">C30</f>
        <v>40 HC</v>
      </c>
      <c r="D58" s="13" t="str">
        <f t="shared" si="73"/>
        <v>Tianjin</v>
      </c>
      <c r="E58" s="13" t="str">
        <f t="shared" si="73"/>
        <v>Эрлянь</v>
      </c>
      <c r="F58" s="13" t="str">
        <f t="shared" si="73"/>
        <v>Москва</v>
      </c>
      <c r="G58" s="18">
        <f>G2+500</f>
        <v>4450</v>
      </c>
      <c r="H58" s="13">
        <f t="shared" ref="H58:N58" si="74">H30</f>
        <v>0</v>
      </c>
      <c r="I58" s="13" t="str">
        <f t="shared" si="74"/>
        <v>Купавна/ Электроугли</v>
      </c>
      <c r="J58" s="13"/>
      <c r="K58" s="13"/>
      <c r="L58" s="13"/>
      <c r="M58" s="13"/>
      <c r="N58" s="14">
        <f t="shared" si="74"/>
        <v>45767</v>
      </c>
      <c r="O58" s="13"/>
      <c r="P58" s="15">
        <f t="shared" si="42"/>
        <v>45767</v>
      </c>
    </row>
    <row r="59" spans="1:16" x14ac:dyDescent="0.2">
      <c r="A59" s="9" t="str">
        <f t="shared" si="2"/>
        <v>жд</v>
      </c>
      <c r="B59" s="9" t="s">
        <v>56</v>
      </c>
      <c r="C59" s="9" t="str">
        <f t="shared" ref="C59:F59" si="75">C31</f>
        <v>40 HC</v>
      </c>
      <c r="D59" s="9" t="str">
        <f t="shared" si="75"/>
        <v>Qingdao</v>
      </c>
      <c r="E59" s="9" t="str">
        <f t="shared" si="75"/>
        <v>Эрлянь</v>
      </c>
      <c r="F59" s="9" t="str">
        <f t="shared" si="75"/>
        <v>Москва</v>
      </c>
      <c r="G59" s="18">
        <f t="shared" ref="G59:G85" si="76">G3+500</f>
        <v>4450</v>
      </c>
      <c r="H59" s="9">
        <f t="shared" ref="H59:N59" si="77">H31</f>
        <v>0</v>
      </c>
      <c r="I59" s="9" t="str">
        <f t="shared" si="77"/>
        <v>Купавна/ Электроугли</v>
      </c>
      <c r="J59" s="9"/>
      <c r="K59" s="9"/>
      <c r="L59" s="9"/>
      <c r="M59" s="9"/>
      <c r="N59" s="10">
        <f t="shared" si="77"/>
        <v>45767</v>
      </c>
      <c r="O59" s="9"/>
      <c r="P59" s="11">
        <f t="shared" si="42"/>
        <v>45767</v>
      </c>
    </row>
    <row r="60" spans="1:16" x14ac:dyDescent="0.2">
      <c r="A60" s="9" t="str">
        <f t="shared" si="2"/>
        <v>жд</v>
      </c>
      <c r="B60" s="9" t="s">
        <v>56</v>
      </c>
      <c r="C60" s="9" t="str">
        <f t="shared" ref="C60:F60" si="78">C32</f>
        <v>40 HC</v>
      </c>
      <c r="D60" s="9" t="str">
        <f t="shared" si="78"/>
        <v>Shanghai/Ningbo</v>
      </c>
      <c r="E60" s="9" t="str">
        <f t="shared" si="78"/>
        <v>Эрлянь</v>
      </c>
      <c r="F60" s="9" t="str">
        <f t="shared" si="78"/>
        <v>Москва</v>
      </c>
      <c r="G60" s="18">
        <f t="shared" si="76"/>
        <v>4300</v>
      </c>
      <c r="H60" s="9">
        <f t="shared" ref="H60:N60" si="79">H32</f>
        <v>0</v>
      </c>
      <c r="I60" s="9" t="str">
        <f t="shared" si="79"/>
        <v>Купавна/ Электроугли</v>
      </c>
      <c r="J60" s="9"/>
      <c r="K60" s="9"/>
      <c r="L60" s="9"/>
      <c r="M60" s="9"/>
      <c r="N60" s="10">
        <f t="shared" si="79"/>
        <v>45767</v>
      </c>
      <c r="O60" s="9"/>
      <c r="P60" s="11">
        <f t="shared" si="42"/>
        <v>45767</v>
      </c>
    </row>
    <row r="61" spans="1:16" x14ac:dyDescent="0.2">
      <c r="A61" s="9" t="str">
        <f t="shared" si="2"/>
        <v>жд</v>
      </c>
      <c r="B61" s="9" t="s">
        <v>56</v>
      </c>
      <c r="C61" s="9" t="str">
        <f t="shared" ref="C61:F61" si="80">C33</f>
        <v>40 HC</v>
      </c>
      <c r="D61" s="9" t="str">
        <f t="shared" si="80"/>
        <v>Hefei Wenzhou</v>
      </c>
      <c r="E61" s="9" t="str">
        <f t="shared" si="80"/>
        <v>Эрлянь</v>
      </c>
      <c r="F61" s="9" t="str">
        <f t="shared" si="80"/>
        <v>Москва</v>
      </c>
      <c r="G61" s="18">
        <f t="shared" si="76"/>
        <v>4500</v>
      </c>
      <c r="H61" s="9">
        <f t="shared" ref="H61:N61" si="81">H33</f>
        <v>0</v>
      </c>
      <c r="I61" s="9" t="str">
        <f t="shared" si="81"/>
        <v>Купавна/ Электроугли</v>
      </c>
      <c r="J61" s="9"/>
      <c r="K61" s="9"/>
      <c r="L61" s="9"/>
      <c r="M61" s="9"/>
      <c r="N61" s="10">
        <f t="shared" si="81"/>
        <v>45767</v>
      </c>
      <c r="O61" s="9"/>
      <c r="P61" s="11">
        <f t="shared" si="42"/>
        <v>45767</v>
      </c>
    </row>
    <row r="62" spans="1:16" x14ac:dyDescent="0.2">
      <c r="A62" s="9" t="str">
        <f t="shared" si="2"/>
        <v>жд</v>
      </c>
      <c r="B62" s="9" t="s">
        <v>56</v>
      </c>
      <c r="C62" s="9" t="str">
        <f t="shared" ref="C62:F62" si="82">C34</f>
        <v>40 HC</v>
      </c>
      <c r="D62" s="9" t="str">
        <f t="shared" si="82"/>
        <v>Weifang</v>
      </c>
      <c r="E62" s="9" t="str">
        <f t="shared" si="82"/>
        <v>Эрлянь</v>
      </c>
      <c r="F62" s="9" t="str">
        <f t="shared" si="82"/>
        <v>Москва</v>
      </c>
      <c r="G62" s="18">
        <f t="shared" si="76"/>
        <v>4500</v>
      </c>
      <c r="H62" s="9">
        <f t="shared" ref="H62:N62" si="83">H34</f>
        <v>0</v>
      </c>
      <c r="I62" s="9" t="str">
        <f t="shared" si="83"/>
        <v>Купавна/ Электроугли</v>
      </c>
      <c r="J62" s="9"/>
      <c r="K62" s="9"/>
      <c r="L62" s="9"/>
      <c r="M62" s="9"/>
      <c r="N62" s="10">
        <f t="shared" si="83"/>
        <v>45767</v>
      </c>
      <c r="O62" s="9"/>
      <c r="P62" s="11">
        <f t="shared" si="42"/>
        <v>45767</v>
      </c>
    </row>
    <row r="63" spans="1:16" x14ac:dyDescent="0.2">
      <c r="A63" s="9" t="str">
        <f t="shared" si="2"/>
        <v>жд</v>
      </c>
      <c r="B63" s="9" t="s">
        <v>56</v>
      </c>
      <c r="C63" s="9" t="str">
        <f t="shared" ref="C63:F63" si="84">C35</f>
        <v>40 HC</v>
      </c>
      <c r="D63" s="9" t="str">
        <f t="shared" si="84"/>
        <v>Weihai</v>
      </c>
      <c r="E63" s="9" t="str">
        <f t="shared" si="84"/>
        <v>Эрлянь</v>
      </c>
      <c r="F63" s="9" t="str">
        <f t="shared" si="84"/>
        <v>Москва</v>
      </c>
      <c r="G63" s="18">
        <f t="shared" si="76"/>
        <v>4550</v>
      </c>
      <c r="H63" s="9">
        <f t="shared" ref="H63:N63" si="85">H35</f>
        <v>0</v>
      </c>
      <c r="I63" s="9" t="str">
        <f t="shared" si="85"/>
        <v>Купавна/ Электроугли</v>
      </c>
      <c r="J63" s="9"/>
      <c r="K63" s="9"/>
      <c r="L63" s="9"/>
      <c r="M63" s="9"/>
      <c r="N63" s="10">
        <f t="shared" si="85"/>
        <v>45767</v>
      </c>
      <c r="O63" s="9"/>
      <c r="P63" s="11">
        <f t="shared" si="42"/>
        <v>45767</v>
      </c>
    </row>
    <row r="64" spans="1:16" x14ac:dyDescent="0.2">
      <c r="A64" s="9" t="str">
        <f t="shared" si="2"/>
        <v>жд</v>
      </c>
      <c r="B64" s="9" t="s">
        <v>56</v>
      </c>
      <c r="C64" s="9" t="str">
        <f t="shared" ref="C64:F64" si="86">C36</f>
        <v>40 HC</v>
      </c>
      <c r="D64" s="9" t="str">
        <f t="shared" si="86"/>
        <v>Guangzhou</v>
      </c>
      <c r="E64" s="9" t="str">
        <f t="shared" si="86"/>
        <v>Эрлянь</v>
      </c>
      <c r="F64" s="9" t="str">
        <f t="shared" si="86"/>
        <v>Москва</v>
      </c>
      <c r="G64" s="18">
        <f t="shared" si="76"/>
        <v>4650</v>
      </c>
      <c r="H64" s="9">
        <f t="shared" ref="H64:N64" si="87">H36</f>
        <v>0</v>
      </c>
      <c r="I64" s="9" t="str">
        <f t="shared" si="87"/>
        <v>Электроугли</v>
      </c>
      <c r="J64" s="9"/>
      <c r="K64" s="9"/>
      <c r="L64" s="9"/>
      <c r="M64" s="9"/>
      <c r="N64" s="10">
        <f t="shared" si="87"/>
        <v>45767</v>
      </c>
      <c r="O64" s="9"/>
      <c r="P64" s="11">
        <f t="shared" si="42"/>
        <v>45762</v>
      </c>
    </row>
    <row r="65" spans="1:16" x14ac:dyDescent="0.2">
      <c r="A65" s="9" t="str">
        <f t="shared" si="2"/>
        <v>жд</v>
      </c>
      <c r="B65" s="9" t="s">
        <v>56</v>
      </c>
      <c r="C65" s="9" t="str">
        <f t="shared" ref="C65:F65" si="88">C37</f>
        <v>40 HC</v>
      </c>
      <c r="D65" s="9" t="str">
        <f t="shared" si="88"/>
        <v>Shenshen</v>
      </c>
      <c r="E65" s="9" t="str">
        <f t="shared" si="88"/>
        <v>Эрлянь</v>
      </c>
      <c r="F65" s="9" t="str">
        <f t="shared" si="88"/>
        <v>Москва</v>
      </c>
      <c r="G65" s="18">
        <f t="shared" si="76"/>
        <v>4650</v>
      </c>
      <c r="H65" s="9">
        <f t="shared" ref="H65:N65" si="89">H37</f>
        <v>0</v>
      </c>
      <c r="I65" s="9" t="str">
        <f t="shared" si="89"/>
        <v>Электроугли</v>
      </c>
      <c r="J65" s="9"/>
      <c r="K65" s="9"/>
      <c r="L65" s="9"/>
      <c r="M65" s="9"/>
      <c r="N65" s="10">
        <f t="shared" si="89"/>
        <v>45767</v>
      </c>
      <c r="O65" s="9"/>
      <c r="P65" s="11">
        <f t="shared" si="42"/>
        <v>45762</v>
      </c>
    </row>
    <row r="66" spans="1:16" x14ac:dyDescent="0.2">
      <c r="A66" s="9" t="str">
        <f t="shared" si="2"/>
        <v>жд</v>
      </c>
      <c r="B66" s="9" t="s">
        <v>56</v>
      </c>
      <c r="C66" s="9" t="str">
        <f t="shared" ref="C66:F66" si="90">C38</f>
        <v>40 HC</v>
      </c>
      <c r="D66" s="9" t="str">
        <f t="shared" si="90"/>
        <v>Zhongshan</v>
      </c>
      <c r="E66" s="9" t="str">
        <f t="shared" si="90"/>
        <v>Эрлянь</v>
      </c>
      <c r="F66" s="9" t="str">
        <f t="shared" si="90"/>
        <v>Москва</v>
      </c>
      <c r="G66" s="18">
        <f t="shared" si="76"/>
        <v>4650</v>
      </c>
      <c r="H66" s="9">
        <f t="shared" ref="H66:N66" si="91">H38</f>
        <v>0</v>
      </c>
      <c r="I66" s="9" t="str">
        <f t="shared" si="91"/>
        <v>Электроугли</v>
      </c>
      <c r="J66" s="9"/>
      <c r="K66" s="9"/>
      <c r="L66" s="9"/>
      <c r="M66" s="9"/>
      <c r="N66" s="10">
        <f t="shared" si="91"/>
        <v>45767</v>
      </c>
      <c r="O66" s="9"/>
      <c r="P66" s="11">
        <f t="shared" ref="P66:P85" si="92">P38</f>
        <v>45762</v>
      </c>
    </row>
    <row r="67" spans="1:16" x14ac:dyDescent="0.2">
      <c r="A67" s="9" t="str">
        <f t="shared" si="2"/>
        <v>жд</v>
      </c>
      <c r="B67" s="9" t="s">
        <v>56</v>
      </c>
      <c r="C67" s="9" t="str">
        <f t="shared" ref="C67:F67" si="93">C39</f>
        <v>40 HC</v>
      </c>
      <c r="D67" s="9" t="str">
        <f t="shared" si="93"/>
        <v>Zhuhai</v>
      </c>
      <c r="E67" s="9" t="str">
        <f t="shared" si="93"/>
        <v>Эрлянь</v>
      </c>
      <c r="F67" s="9" t="str">
        <f t="shared" si="93"/>
        <v>Москва</v>
      </c>
      <c r="G67" s="18">
        <f t="shared" si="76"/>
        <v>4650</v>
      </c>
      <c r="H67" s="9">
        <f t="shared" ref="H67:N67" si="94">H39</f>
        <v>0</v>
      </c>
      <c r="I67" s="9" t="str">
        <f t="shared" si="94"/>
        <v>Электроугли</v>
      </c>
      <c r="J67" s="9"/>
      <c r="K67" s="9"/>
      <c r="L67" s="9"/>
      <c r="M67" s="9"/>
      <c r="N67" s="10">
        <f t="shared" si="94"/>
        <v>45767</v>
      </c>
      <c r="O67" s="9"/>
      <c r="P67" s="11">
        <f t="shared" si="92"/>
        <v>45762</v>
      </c>
    </row>
    <row r="68" spans="1:16" x14ac:dyDescent="0.2">
      <c r="A68" s="9" t="str">
        <f t="shared" si="2"/>
        <v>жд</v>
      </c>
      <c r="B68" s="9" t="s">
        <v>56</v>
      </c>
      <c r="C68" s="9" t="str">
        <f t="shared" ref="C68:F68" si="95">C40</f>
        <v>40 HC</v>
      </c>
      <c r="D68" s="9" t="str">
        <f t="shared" si="95"/>
        <v>Ningbo</v>
      </c>
      <c r="E68" s="9" t="str">
        <f t="shared" si="95"/>
        <v>Эрлянь</v>
      </c>
      <c r="F68" s="9" t="str">
        <f t="shared" si="95"/>
        <v>Москва</v>
      </c>
      <c r="G68" s="18">
        <f t="shared" si="76"/>
        <v>4850</v>
      </c>
      <c r="H68" s="9">
        <f t="shared" ref="H68:N68" si="96">H40</f>
        <v>0</v>
      </c>
      <c r="I68" s="9" t="str">
        <f t="shared" si="96"/>
        <v>Белый Раст</v>
      </c>
      <c r="J68" s="9"/>
      <c r="K68" s="9"/>
      <c r="L68" s="9"/>
      <c r="M68" s="9"/>
      <c r="N68" s="10">
        <f t="shared" si="96"/>
        <v>45767</v>
      </c>
      <c r="O68" s="9"/>
      <c r="P68" s="11">
        <f t="shared" si="92"/>
        <v>45761</v>
      </c>
    </row>
    <row r="69" spans="1:16" x14ac:dyDescent="0.2">
      <c r="A69" s="9" t="str">
        <f t="shared" si="2"/>
        <v>жд</v>
      </c>
      <c r="B69" s="9" t="s">
        <v>56</v>
      </c>
      <c r="C69" s="9" t="str">
        <f t="shared" ref="C69:F69" si="97">C41</f>
        <v>40 HC</v>
      </c>
      <c r="D69" s="9" t="str">
        <f t="shared" si="97"/>
        <v>Shanghai</v>
      </c>
      <c r="E69" s="9" t="str">
        <f t="shared" si="97"/>
        <v>Эрлянь</v>
      </c>
      <c r="F69" s="9" t="str">
        <f t="shared" si="97"/>
        <v>Москва</v>
      </c>
      <c r="G69" s="18">
        <f t="shared" si="76"/>
        <v>5000</v>
      </c>
      <c r="H69" s="9">
        <f t="shared" ref="H69:N69" si="98">H41</f>
        <v>0</v>
      </c>
      <c r="I69" s="9" t="str">
        <f t="shared" si="98"/>
        <v>Белый Раст</v>
      </c>
      <c r="J69" s="9"/>
      <c r="K69" s="9"/>
      <c r="L69" s="9"/>
      <c r="M69" s="9"/>
      <c r="N69" s="10">
        <f t="shared" si="98"/>
        <v>45767</v>
      </c>
      <c r="O69" s="9"/>
      <c r="P69" s="11">
        <f t="shared" si="92"/>
        <v>45761</v>
      </c>
    </row>
    <row r="70" spans="1:16" x14ac:dyDescent="0.2">
      <c r="A70" s="9" t="str">
        <f t="shared" si="2"/>
        <v>жд</v>
      </c>
      <c r="B70" s="9" t="s">
        <v>56</v>
      </c>
      <c r="C70" s="9" t="str">
        <f t="shared" ref="C70:F70" si="99">C42</f>
        <v>40 HC</v>
      </c>
      <c r="D70" s="9" t="str">
        <f t="shared" si="99"/>
        <v>Jinhua</v>
      </c>
      <c r="E70" s="9" t="str">
        <f t="shared" si="99"/>
        <v>Эрлянь</v>
      </c>
      <c r="F70" s="9" t="str">
        <f t="shared" si="99"/>
        <v>Москва</v>
      </c>
      <c r="G70" s="18">
        <f t="shared" si="76"/>
        <v>4750</v>
      </c>
      <c r="H70" s="9">
        <f t="shared" ref="H70:N70" si="100">H42</f>
        <v>0</v>
      </c>
      <c r="I70" s="9" t="str">
        <f t="shared" si="100"/>
        <v>Белый Раст</v>
      </c>
      <c r="J70" s="9"/>
      <c r="K70" s="9"/>
      <c r="L70" s="9"/>
      <c r="M70" s="9"/>
      <c r="N70" s="10">
        <f t="shared" si="100"/>
        <v>45767</v>
      </c>
      <c r="O70" s="9"/>
      <c r="P70" s="11">
        <f t="shared" si="92"/>
        <v>45761</v>
      </c>
    </row>
    <row r="71" spans="1:16" x14ac:dyDescent="0.2">
      <c r="A71" s="9" t="str">
        <f t="shared" si="2"/>
        <v>жд</v>
      </c>
      <c r="B71" s="9" t="s">
        <v>56</v>
      </c>
      <c r="C71" s="9" t="str">
        <f t="shared" ref="C71:F71" si="101">C43</f>
        <v>40 HC</v>
      </c>
      <c r="D71" s="9" t="str">
        <f t="shared" si="101"/>
        <v>Yiwu</v>
      </c>
      <c r="E71" s="9" t="str">
        <f t="shared" si="101"/>
        <v>Эрлянь</v>
      </c>
      <c r="F71" s="9" t="str">
        <f t="shared" si="101"/>
        <v>Москва</v>
      </c>
      <c r="G71" s="18">
        <f t="shared" si="76"/>
        <v>4700</v>
      </c>
      <c r="H71" s="9">
        <f t="shared" ref="H71:N71" si="102">H43</f>
        <v>0</v>
      </c>
      <c r="I71" s="9" t="str">
        <f t="shared" si="102"/>
        <v>Белый Раст</v>
      </c>
      <c r="J71" s="9"/>
      <c r="K71" s="9"/>
      <c r="L71" s="9"/>
      <c r="M71" s="9"/>
      <c r="N71" s="10">
        <f t="shared" si="102"/>
        <v>45767</v>
      </c>
      <c r="O71" s="9"/>
      <c r="P71" s="11">
        <f t="shared" si="92"/>
        <v>45761</v>
      </c>
    </row>
    <row r="72" spans="1:16" ht="17" x14ac:dyDescent="0.2">
      <c r="A72" s="9" t="str">
        <f t="shared" si="2"/>
        <v>жд</v>
      </c>
      <c r="B72" s="9" t="s">
        <v>56</v>
      </c>
      <c r="C72" s="9" t="str">
        <f t="shared" ref="C72:F72" si="103">C44</f>
        <v>40 HC</v>
      </c>
      <c r="D72" s="9" t="str">
        <f t="shared" si="103"/>
        <v>Shanghai</v>
      </c>
      <c r="E72" s="9" t="str">
        <f t="shared" si="103"/>
        <v>Алашанкоу</v>
      </c>
      <c r="F72" s="9" t="str">
        <f t="shared" si="103"/>
        <v>Москва</v>
      </c>
      <c r="G72" s="18">
        <f t="shared" si="76"/>
        <v>4650</v>
      </c>
      <c r="H72" s="9">
        <f t="shared" ref="H72:N72" si="104">H44</f>
        <v>0</v>
      </c>
      <c r="I72" s="9" t="str">
        <f t="shared" si="104"/>
        <v>Электроугли</v>
      </c>
      <c r="J72" s="9"/>
      <c r="K72" s="9"/>
      <c r="L72" s="9"/>
      <c r="M72" s="9"/>
      <c r="N72" s="10">
        <f t="shared" si="104"/>
        <v>45767</v>
      </c>
      <c r="O72" s="9"/>
      <c r="P72" s="11" t="str">
        <f t="shared" si="92"/>
        <v>18.04, 21.04, 23.04, 25.04, 30.04</v>
      </c>
    </row>
    <row r="73" spans="1:16" ht="17" x14ac:dyDescent="0.2">
      <c r="A73" s="9" t="str">
        <f t="shared" si="2"/>
        <v>жд</v>
      </c>
      <c r="B73" s="9" t="s">
        <v>56</v>
      </c>
      <c r="C73" s="9" t="str">
        <f t="shared" ref="C73:F73" si="105">C45</f>
        <v>40 HC</v>
      </c>
      <c r="D73" s="9" t="str">
        <f t="shared" si="105"/>
        <v>Ningbo</v>
      </c>
      <c r="E73" s="9" t="str">
        <f t="shared" si="105"/>
        <v>Алашанкоу</v>
      </c>
      <c r="F73" s="9" t="str">
        <f t="shared" si="105"/>
        <v>Москва</v>
      </c>
      <c r="G73" s="18">
        <f t="shared" si="76"/>
        <v>4800</v>
      </c>
      <c r="H73" s="9">
        <f t="shared" ref="H73:N73" si="106">H45</f>
        <v>0</v>
      </c>
      <c r="I73" s="9" t="str">
        <f t="shared" si="106"/>
        <v>Электроугли</v>
      </c>
      <c r="J73" s="9"/>
      <c r="K73" s="9"/>
      <c r="L73" s="9"/>
      <c r="M73" s="9"/>
      <c r="N73" s="10">
        <f t="shared" si="106"/>
        <v>45767</v>
      </c>
      <c r="O73" s="9"/>
      <c r="P73" s="11" t="str">
        <f t="shared" si="92"/>
        <v>18.04, 21.04, 23.04, 25.04, 30.04</v>
      </c>
    </row>
    <row r="74" spans="1:16" ht="17" x14ac:dyDescent="0.2">
      <c r="A74" s="9" t="str">
        <f t="shared" si="2"/>
        <v>жд</v>
      </c>
      <c r="B74" s="9" t="s">
        <v>56</v>
      </c>
      <c r="C74" s="9" t="str">
        <f t="shared" ref="C74:F74" si="107">C46</f>
        <v>40 HC</v>
      </c>
      <c r="D74" s="9" t="str">
        <f t="shared" si="107"/>
        <v>Qingdao</v>
      </c>
      <c r="E74" s="9" t="str">
        <f t="shared" si="107"/>
        <v>Алашанкоу</v>
      </c>
      <c r="F74" s="9" t="str">
        <f t="shared" si="107"/>
        <v>Москва</v>
      </c>
      <c r="G74" s="18">
        <f t="shared" si="76"/>
        <v>4350</v>
      </c>
      <c r="H74" s="9">
        <f t="shared" ref="H74:N74" si="108">H46</f>
        <v>0</v>
      </c>
      <c r="I74" s="9" t="str">
        <f t="shared" si="108"/>
        <v>Электроугли</v>
      </c>
      <c r="J74" s="9"/>
      <c r="K74" s="9"/>
      <c r="L74" s="9"/>
      <c r="M74" s="9"/>
      <c r="N74" s="10">
        <f t="shared" si="108"/>
        <v>45767</v>
      </c>
      <c r="O74" s="9"/>
      <c r="P74" s="11" t="str">
        <f t="shared" si="92"/>
        <v>18.04, 21.04, 23.04, 25.04, 30.04</v>
      </c>
    </row>
    <row r="75" spans="1:16" ht="17" x14ac:dyDescent="0.2">
      <c r="A75" s="9" t="str">
        <f t="shared" si="2"/>
        <v>жд</v>
      </c>
      <c r="B75" s="9" t="s">
        <v>56</v>
      </c>
      <c r="C75" s="9" t="str">
        <f t="shared" ref="C75:F75" si="109">C47</f>
        <v>40 HC</v>
      </c>
      <c r="D75" s="9" t="str">
        <f t="shared" si="109"/>
        <v>Tianjin</v>
      </c>
      <c r="E75" s="9" t="str">
        <f t="shared" si="109"/>
        <v>Алашанкоу</v>
      </c>
      <c r="F75" s="9" t="str">
        <f t="shared" si="109"/>
        <v>Москва</v>
      </c>
      <c r="G75" s="18">
        <f t="shared" si="76"/>
        <v>4450</v>
      </c>
      <c r="H75" s="9">
        <f t="shared" ref="H75:N75" si="110">H47</f>
        <v>0</v>
      </c>
      <c r="I75" s="9" t="str">
        <f t="shared" si="110"/>
        <v>Электроугли</v>
      </c>
      <c r="J75" s="9"/>
      <c r="K75" s="9"/>
      <c r="L75" s="9"/>
      <c r="M75" s="9"/>
      <c r="N75" s="10">
        <f t="shared" si="110"/>
        <v>45767</v>
      </c>
      <c r="O75" s="9"/>
      <c r="P75" s="11" t="str">
        <f t="shared" si="92"/>
        <v>18.04, 21.04, 23.04, 25.04, 30.04</v>
      </c>
    </row>
    <row r="76" spans="1:16" ht="17" x14ac:dyDescent="0.2">
      <c r="A76" s="9" t="str">
        <f t="shared" si="2"/>
        <v>жд</v>
      </c>
      <c r="B76" s="9" t="s">
        <v>56</v>
      </c>
      <c r="C76" s="9" t="str">
        <f t="shared" ref="C76:F76" si="111">C48</f>
        <v>40 HC</v>
      </c>
      <c r="D76" s="9" t="str">
        <f t="shared" si="111"/>
        <v>Yiwu</v>
      </c>
      <c r="E76" s="9" t="str">
        <f t="shared" si="111"/>
        <v>Алашанкоу</v>
      </c>
      <c r="F76" s="9" t="str">
        <f t="shared" si="111"/>
        <v>Москва</v>
      </c>
      <c r="G76" s="18">
        <f t="shared" si="76"/>
        <v>4900</v>
      </c>
      <c r="H76" s="9">
        <f t="shared" ref="H76:N76" si="112">H48</f>
        <v>0</v>
      </c>
      <c r="I76" s="9" t="str">
        <f t="shared" si="112"/>
        <v>Электроугли</v>
      </c>
      <c r="J76" s="9"/>
      <c r="K76" s="9"/>
      <c r="L76" s="9"/>
      <c r="M76" s="9"/>
      <c r="N76" s="10">
        <f t="shared" si="112"/>
        <v>45767</v>
      </c>
      <c r="O76" s="9"/>
      <c r="P76" s="11" t="str">
        <f t="shared" si="92"/>
        <v>18.04, 21.04, 23.04, 25.04, 30.04</v>
      </c>
    </row>
    <row r="77" spans="1:16" ht="17" x14ac:dyDescent="0.2">
      <c r="A77" s="9" t="str">
        <f t="shared" si="2"/>
        <v>жд</v>
      </c>
      <c r="B77" s="9" t="s">
        <v>56</v>
      </c>
      <c r="C77" s="9" t="str">
        <f t="shared" ref="C77:F77" si="113">C49</f>
        <v>40 HC</v>
      </c>
      <c r="D77" s="9" t="str">
        <f t="shared" si="113"/>
        <v>Zhengzhou</v>
      </c>
      <c r="E77" s="9" t="str">
        <f t="shared" si="113"/>
        <v>Алашанкоу</v>
      </c>
      <c r="F77" s="9" t="str">
        <f t="shared" si="113"/>
        <v>Москва</v>
      </c>
      <c r="G77" s="18">
        <f t="shared" si="76"/>
        <v>3950</v>
      </c>
      <c r="H77" s="9">
        <f t="shared" ref="H77:N77" si="114">H49</f>
        <v>0</v>
      </c>
      <c r="I77" s="9" t="str">
        <f t="shared" si="114"/>
        <v>Электроугли</v>
      </c>
      <c r="J77" s="9"/>
      <c r="K77" s="9"/>
      <c r="L77" s="9"/>
      <c r="M77" s="9"/>
      <c r="N77" s="10">
        <f t="shared" si="114"/>
        <v>45767</v>
      </c>
      <c r="O77" s="9"/>
      <c r="P77" s="11" t="str">
        <f t="shared" si="92"/>
        <v>18.04, 21.04, 23.04, 25.04, 30.04</v>
      </c>
    </row>
    <row r="78" spans="1:16" ht="17" x14ac:dyDescent="0.2">
      <c r="A78" s="9" t="str">
        <f t="shared" si="2"/>
        <v>жд</v>
      </c>
      <c r="B78" s="9" t="s">
        <v>56</v>
      </c>
      <c r="C78" s="9" t="str">
        <f t="shared" ref="C78:F78" si="115">C50</f>
        <v>40 HC</v>
      </c>
      <c r="D78" s="9" t="str">
        <f t="shared" si="115"/>
        <v>Shanghai</v>
      </c>
      <c r="E78" s="9" t="str">
        <f t="shared" si="115"/>
        <v>Алашанкоу</v>
      </c>
      <c r="F78" s="9" t="str">
        <f t="shared" si="115"/>
        <v>Москва</v>
      </c>
      <c r="G78" s="18">
        <f t="shared" si="76"/>
        <v>4600</v>
      </c>
      <c r="H78" s="9">
        <f t="shared" ref="H78:N78" si="116">H50</f>
        <v>0</v>
      </c>
      <c r="I78" s="9" t="str">
        <f t="shared" si="116"/>
        <v>Электроугли</v>
      </c>
      <c r="J78" s="9"/>
      <c r="K78" s="9"/>
      <c r="L78" s="9"/>
      <c r="M78" s="9"/>
      <c r="N78" s="10">
        <f t="shared" si="116"/>
        <v>45767</v>
      </c>
      <c r="O78" s="9"/>
      <c r="P78" s="11" t="str">
        <f t="shared" si="92"/>
        <v>16.04, 18.04, 20.04, 22.04, 23.04</v>
      </c>
    </row>
    <row r="79" spans="1:16" ht="17" x14ac:dyDescent="0.2">
      <c r="A79" s="9" t="str">
        <f t="shared" si="2"/>
        <v>жд</v>
      </c>
      <c r="B79" s="9" t="s">
        <v>56</v>
      </c>
      <c r="C79" s="9" t="str">
        <f t="shared" ref="C79:F79" si="117">C51</f>
        <v>40 HC</v>
      </c>
      <c r="D79" s="9" t="str">
        <f t="shared" si="117"/>
        <v>Ningbo</v>
      </c>
      <c r="E79" s="9" t="str">
        <f t="shared" si="117"/>
        <v>Алашанкоу</v>
      </c>
      <c r="F79" s="9" t="str">
        <f t="shared" si="117"/>
        <v>Москва</v>
      </c>
      <c r="G79" s="18">
        <f t="shared" si="76"/>
        <v>4660</v>
      </c>
      <c r="H79" s="9">
        <f t="shared" ref="H79:N79" si="118">H51</f>
        <v>0</v>
      </c>
      <c r="I79" s="9" t="str">
        <f t="shared" si="118"/>
        <v>Электроугли</v>
      </c>
      <c r="J79" s="9"/>
      <c r="K79" s="9"/>
      <c r="L79" s="9"/>
      <c r="M79" s="9"/>
      <c r="N79" s="10">
        <f t="shared" si="118"/>
        <v>45767</v>
      </c>
      <c r="O79" s="9"/>
      <c r="P79" s="11" t="str">
        <f t="shared" si="92"/>
        <v>16.04, 18.04, 20.04, 22.04, 23.04</v>
      </c>
    </row>
    <row r="80" spans="1:16" ht="17" x14ac:dyDescent="0.2">
      <c r="A80" s="9" t="str">
        <f t="shared" si="2"/>
        <v>жд</v>
      </c>
      <c r="B80" s="9" t="s">
        <v>56</v>
      </c>
      <c r="C80" s="9" t="str">
        <f t="shared" ref="C80:F80" si="119">C52</f>
        <v>40 HC</v>
      </c>
      <c r="D80" s="9" t="str">
        <f t="shared" si="119"/>
        <v>Qingdao</v>
      </c>
      <c r="E80" s="9" t="str">
        <f t="shared" si="119"/>
        <v>Алашанкоу</v>
      </c>
      <c r="F80" s="9" t="str">
        <f t="shared" si="119"/>
        <v>Москва</v>
      </c>
      <c r="G80" s="18">
        <f t="shared" si="76"/>
        <v>4470</v>
      </c>
      <c r="H80" s="9">
        <f t="shared" ref="H80:N80" si="120">H52</f>
        <v>0</v>
      </c>
      <c r="I80" s="9" t="str">
        <f t="shared" si="120"/>
        <v>Электроугли</v>
      </c>
      <c r="J80" s="9"/>
      <c r="K80" s="9"/>
      <c r="L80" s="9"/>
      <c r="M80" s="9"/>
      <c r="N80" s="10">
        <f t="shared" si="120"/>
        <v>45767</v>
      </c>
      <c r="O80" s="9"/>
      <c r="P80" s="11" t="str">
        <f t="shared" si="92"/>
        <v>16.04, 18.04, 20.04, 22.04, 23.04</v>
      </c>
    </row>
    <row r="81" spans="1:16" ht="17" x14ac:dyDescent="0.2">
      <c r="A81" s="9" t="str">
        <f t="shared" si="2"/>
        <v>жд</v>
      </c>
      <c r="B81" s="9" t="s">
        <v>56</v>
      </c>
      <c r="C81" s="9" t="str">
        <f t="shared" ref="C81:F81" si="121">C53</f>
        <v>40 HC</v>
      </c>
      <c r="D81" s="9" t="str">
        <f t="shared" si="121"/>
        <v>Tianjin</v>
      </c>
      <c r="E81" s="9" t="str">
        <f t="shared" si="121"/>
        <v>Алашанкоу</v>
      </c>
      <c r="F81" s="9" t="str">
        <f t="shared" si="121"/>
        <v>Москва</v>
      </c>
      <c r="G81" s="18">
        <f t="shared" si="76"/>
        <v>4520</v>
      </c>
      <c r="H81" s="9">
        <f t="shared" ref="H81:N81" si="122">H53</f>
        <v>0</v>
      </c>
      <c r="I81" s="9" t="str">
        <f t="shared" si="122"/>
        <v>Электроугли</v>
      </c>
      <c r="J81" s="9"/>
      <c r="K81" s="9"/>
      <c r="L81" s="9"/>
      <c r="M81" s="9"/>
      <c r="N81" s="10">
        <f t="shared" si="122"/>
        <v>45767</v>
      </c>
      <c r="O81" s="9"/>
      <c r="P81" s="11" t="str">
        <f t="shared" si="92"/>
        <v>16.04, 18.04, 20.04, 22.04, 23.04</v>
      </c>
    </row>
    <row r="82" spans="1:16" x14ac:dyDescent="0.2">
      <c r="A82" s="9" t="str">
        <f t="shared" si="2"/>
        <v>жд</v>
      </c>
      <c r="B82" s="9" t="s">
        <v>56</v>
      </c>
      <c r="C82" s="9" t="str">
        <f t="shared" ref="C82:F82" si="123">C54</f>
        <v>40 HC</v>
      </c>
      <c r="D82" s="9" t="str">
        <f t="shared" si="123"/>
        <v>Shanghai</v>
      </c>
      <c r="E82" s="9" t="str">
        <f t="shared" si="123"/>
        <v>Эрлянь</v>
      </c>
      <c r="F82" s="9" t="str">
        <f t="shared" si="123"/>
        <v>Москва</v>
      </c>
      <c r="G82" s="18">
        <f t="shared" si="76"/>
        <v>5050</v>
      </c>
      <c r="H82" s="9">
        <f t="shared" ref="H82:N82" si="124">H54</f>
        <v>0</v>
      </c>
      <c r="I82" s="9" t="str">
        <f t="shared" si="124"/>
        <v>Электроугли</v>
      </c>
      <c r="J82" s="9"/>
      <c r="K82" s="9"/>
      <c r="L82" s="9"/>
      <c r="M82" s="9"/>
      <c r="N82" s="10">
        <f t="shared" si="124"/>
        <v>45767</v>
      </c>
      <c r="O82" s="9"/>
      <c r="P82" s="11">
        <f t="shared" si="92"/>
        <v>45766</v>
      </c>
    </row>
    <row r="83" spans="1:16" x14ac:dyDescent="0.2">
      <c r="A83" s="9" t="str">
        <f t="shared" si="2"/>
        <v>жд</v>
      </c>
      <c r="B83" s="9" t="s">
        <v>56</v>
      </c>
      <c r="C83" s="9" t="str">
        <f t="shared" ref="C83:F83" si="125">C55</f>
        <v>40 HC</v>
      </c>
      <c r="D83" s="9" t="str">
        <f t="shared" si="125"/>
        <v>Ningbo</v>
      </c>
      <c r="E83" s="9" t="str">
        <f t="shared" si="125"/>
        <v>Эрлянь</v>
      </c>
      <c r="F83" s="9" t="str">
        <f t="shared" si="125"/>
        <v>Москва</v>
      </c>
      <c r="G83" s="18">
        <f t="shared" si="76"/>
        <v>5250</v>
      </c>
      <c r="H83" s="9">
        <f t="shared" ref="H83:N83" si="126">H55</f>
        <v>0</v>
      </c>
      <c r="I83" s="9" t="str">
        <f t="shared" si="126"/>
        <v>Электроугли</v>
      </c>
      <c r="J83" s="9"/>
      <c r="K83" s="9"/>
      <c r="L83" s="9"/>
      <c r="M83" s="9"/>
      <c r="N83" s="10">
        <f t="shared" si="126"/>
        <v>45767</v>
      </c>
      <c r="O83" s="9"/>
      <c r="P83" s="11">
        <f t="shared" si="92"/>
        <v>45766</v>
      </c>
    </row>
    <row r="84" spans="1:16" x14ac:dyDescent="0.2">
      <c r="A84" s="9" t="str">
        <f t="shared" si="2"/>
        <v>жд</v>
      </c>
      <c r="B84" s="9" t="s">
        <v>56</v>
      </c>
      <c r="C84" s="9" t="str">
        <f t="shared" ref="C84:F84" si="127">C56</f>
        <v>40 HC</v>
      </c>
      <c r="D84" s="9" t="str">
        <f t="shared" si="127"/>
        <v>Wuxi</v>
      </c>
      <c r="E84" s="9" t="str">
        <f t="shared" si="127"/>
        <v>Эрлянь</v>
      </c>
      <c r="F84" s="9" t="str">
        <f t="shared" si="127"/>
        <v>Москва</v>
      </c>
      <c r="G84" s="18">
        <f t="shared" si="76"/>
        <v>5100</v>
      </c>
      <c r="H84" s="9">
        <f t="shared" ref="H84:N84" si="128">H56</f>
        <v>0</v>
      </c>
      <c r="I84" s="9" t="str">
        <f t="shared" si="128"/>
        <v>Электроугли</v>
      </c>
      <c r="J84" s="9"/>
      <c r="K84" s="9"/>
      <c r="L84" s="9"/>
      <c r="M84" s="9"/>
      <c r="N84" s="10">
        <f t="shared" si="128"/>
        <v>45767</v>
      </c>
      <c r="O84" s="9"/>
      <c r="P84" s="11">
        <f t="shared" si="92"/>
        <v>45766</v>
      </c>
    </row>
    <row r="85" spans="1:16" x14ac:dyDescent="0.2">
      <c r="A85" s="9" t="str">
        <f t="shared" si="2"/>
        <v>жд</v>
      </c>
      <c r="B85" s="9" t="s">
        <v>56</v>
      </c>
      <c r="C85" s="9" t="str">
        <f t="shared" ref="C85:F85" si="129">C57</f>
        <v>40 HC</v>
      </c>
      <c r="D85" s="9" t="str">
        <f t="shared" si="129"/>
        <v>Suzhou</v>
      </c>
      <c r="E85" s="9" t="str">
        <f t="shared" si="129"/>
        <v>Эрлянь</v>
      </c>
      <c r="F85" s="9" t="str">
        <f t="shared" si="129"/>
        <v>Москва</v>
      </c>
      <c r="G85" s="18">
        <f t="shared" si="76"/>
        <v>5000</v>
      </c>
      <c r="H85" s="9">
        <f t="shared" ref="H85:N85" si="130">H57</f>
        <v>0</v>
      </c>
      <c r="I85" s="9" t="str">
        <f t="shared" si="130"/>
        <v>Электроугли</v>
      </c>
      <c r="J85" s="9"/>
      <c r="K85" s="9"/>
      <c r="L85" s="9"/>
      <c r="M85" s="9"/>
      <c r="N85" s="10">
        <f t="shared" si="130"/>
        <v>45767</v>
      </c>
      <c r="O85" s="9"/>
      <c r="P85" s="11">
        <f t="shared" si="92"/>
        <v>45766</v>
      </c>
    </row>
  </sheetData>
  <phoneticPr fontId="4" type="noConversion"/>
  <pageMargins left="0.7" right="0.7" top="0.75" bottom="0.75" header="0.3" footer="0.3"/>
  <ignoredErrors>
    <ignoredError sqref="G30 G31:G53 G54:G58 G59:G8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2025-04-12T19:43:12Z</dcterms:created>
  <dcterms:modified xsi:type="dcterms:W3CDTF">2025-04-14T05:46:33Z</dcterms:modified>
</cp:coreProperties>
</file>