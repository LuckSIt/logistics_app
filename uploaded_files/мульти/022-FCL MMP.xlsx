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katerinabarbasina/Desktop/для корректировок под тарификацию/"/>
    </mc:Choice>
  </mc:AlternateContent>
  <xr:revisionPtr revIDLastSave="0" documentId="8_{27BDFDF3-ADBE-0B4D-8F25-E3E7A1CBA76A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для калькулятора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5" l="1" a="1"/>
  <c r="H45" i="5" s="1"/>
  <c r="H46" i="5" a="1"/>
  <c r="H46" i="5" s="1"/>
  <c r="H47" i="5" a="1"/>
  <c r="H47" i="5" s="1"/>
  <c r="H48" i="5" a="1"/>
  <c r="H48" i="5" s="1"/>
  <c r="H49" i="5" a="1"/>
  <c r="H49" i="5" s="1"/>
  <c r="H50" i="5" a="1"/>
  <c r="H50" i="5" s="1"/>
  <c r="H51" i="5" a="1"/>
  <c r="H51" i="5" s="1"/>
  <c r="H52" i="5" a="1"/>
  <c r="H52" i="5" s="1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44" i="5"/>
  <c r="D80" i="5"/>
  <c r="D81" i="5"/>
  <c r="D82" i="5"/>
  <c r="D83" i="5"/>
  <c r="D84" i="5"/>
  <c r="D85" i="5"/>
  <c r="D79" i="5"/>
  <c r="D73" i="5"/>
  <c r="D74" i="5"/>
  <c r="D75" i="5"/>
  <c r="D76" i="5"/>
  <c r="D77" i="5"/>
  <c r="D78" i="5"/>
  <c r="D72" i="5"/>
  <c r="D66" i="5"/>
  <c r="D67" i="5"/>
  <c r="D68" i="5"/>
  <c r="D69" i="5"/>
  <c r="D70" i="5"/>
  <c r="D71" i="5"/>
  <c r="D65" i="5"/>
  <c r="D59" i="5"/>
  <c r="D60" i="5"/>
  <c r="D61" i="5"/>
  <c r="D62" i="5"/>
  <c r="D63" i="5"/>
  <c r="D64" i="5"/>
  <c r="D58" i="5"/>
  <c r="D52" i="5"/>
  <c r="D53" i="5"/>
  <c r="D54" i="5"/>
  <c r="D55" i="5"/>
  <c r="D56" i="5"/>
  <c r="D57" i="5"/>
  <c r="D51" i="5"/>
  <c r="D45" i="5"/>
  <c r="D46" i="5"/>
  <c r="D47" i="5"/>
  <c r="D48" i="5"/>
  <c r="D49" i="5"/>
  <c r="D50" i="5"/>
  <c r="D44" i="5"/>
  <c r="F80" i="5"/>
  <c r="F81" i="5"/>
  <c r="F82" i="5"/>
  <c r="F83" i="5"/>
  <c r="F84" i="5"/>
  <c r="F85" i="5"/>
  <c r="F79" i="5"/>
  <c r="F73" i="5"/>
  <c r="F74" i="5"/>
  <c r="F75" i="5"/>
  <c r="F76" i="5"/>
  <c r="F77" i="5"/>
  <c r="F78" i="5"/>
  <c r="F72" i="5"/>
  <c r="F66" i="5"/>
  <c r="F67" i="5"/>
  <c r="F68" i="5"/>
  <c r="F69" i="5"/>
  <c r="F70" i="5"/>
  <c r="F71" i="5"/>
  <c r="F65" i="5"/>
  <c r="F59" i="5"/>
  <c r="F60" i="5"/>
  <c r="F61" i="5"/>
  <c r="F62" i="5"/>
  <c r="F63" i="5"/>
  <c r="F64" i="5"/>
  <c r="F58" i="5"/>
  <c r="F52" i="5"/>
  <c r="F53" i="5"/>
  <c r="F54" i="5"/>
  <c r="F55" i="5"/>
  <c r="F56" i="5"/>
  <c r="F57" i="5"/>
  <c r="F51" i="5"/>
  <c r="F44" i="5"/>
  <c r="F45" i="5"/>
  <c r="F46" i="5"/>
  <c r="F47" i="5"/>
  <c r="F48" i="5"/>
  <c r="F49" i="5"/>
  <c r="F50" i="5"/>
  <c r="G44" i="5"/>
  <c r="H44" i="5" a="1"/>
  <c r="H44" i="5" s="1"/>
  <c r="H38" i="5"/>
  <c r="H39" i="5"/>
  <c r="H40" i="5"/>
  <c r="H41" i="5"/>
  <c r="H42" i="5"/>
  <c r="H43" i="5"/>
  <c r="H37" i="5"/>
  <c r="H31" i="5"/>
  <c r="H32" i="5"/>
  <c r="H33" i="5"/>
  <c r="H34" i="5"/>
  <c r="H35" i="5"/>
  <c r="H36" i="5"/>
  <c r="H30" i="5"/>
  <c r="H24" i="5"/>
  <c r="H25" i="5"/>
  <c r="H26" i="5"/>
  <c r="H27" i="5"/>
  <c r="H28" i="5"/>
  <c r="H29" i="5"/>
  <c r="H23" i="5"/>
  <c r="H17" i="5"/>
  <c r="H18" i="5"/>
  <c r="H19" i="5"/>
  <c r="H20" i="5"/>
  <c r="H21" i="5"/>
  <c r="H22" i="5"/>
  <c r="H16" i="5"/>
  <c r="H10" i="5"/>
  <c r="H11" i="5"/>
  <c r="H12" i="5"/>
  <c r="H13" i="5"/>
  <c r="H14" i="5"/>
  <c r="H15" i="5"/>
  <c r="H9" i="5"/>
  <c r="H2" i="5"/>
  <c r="G38" i="5"/>
  <c r="G39" i="5"/>
  <c r="G40" i="5"/>
  <c r="G41" i="5"/>
  <c r="G42" i="5"/>
  <c r="G43" i="5"/>
  <c r="G37" i="5"/>
  <c r="G31" i="5"/>
  <c r="G32" i="5"/>
  <c r="G33" i="5"/>
  <c r="G34" i="5"/>
  <c r="G35" i="5"/>
  <c r="G36" i="5"/>
  <c r="G30" i="5"/>
  <c r="G24" i="5"/>
  <c r="G25" i="5"/>
  <c r="G26" i="5"/>
  <c r="G27" i="5"/>
  <c r="G28" i="5"/>
  <c r="G29" i="5"/>
  <c r="G23" i="5"/>
  <c r="G17" i="5"/>
  <c r="G18" i="5"/>
  <c r="G19" i="5"/>
  <c r="G20" i="5"/>
  <c r="G21" i="5"/>
  <c r="G22" i="5"/>
  <c r="G16" i="5"/>
  <c r="G10" i="5"/>
  <c r="G11" i="5"/>
  <c r="G12" i="5"/>
  <c r="G13" i="5"/>
  <c r="G14" i="5"/>
  <c r="G15" i="5"/>
  <c r="G9" i="5"/>
  <c r="G3" i="5"/>
  <c r="G4" i="5"/>
  <c r="G5" i="5"/>
  <c r="G6" i="5"/>
  <c r="G7" i="5"/>
  <c r="G8" i="5"/>
  <c r="G2" i="5"/>
  <c r="D24" i="5"/>
  <c r="D25" i="5"/>
  <c r="D26" i="5"/>
  <c r="D27" i="5"/>
  <c r="D28" i="5"/>
  <c r="D17" i="5"/>
  <c r="D18" i="5"/>
  <c r="D19" i="5"/>
  <c r="D20" i="5"/>
  <c r="D21" i="5"/>
  <c r="D22" i="5"/>
  <c r="D10" i="5"/>
  <c r="D11" i="5"/>
  <c r="D12" i="5"/>
  <c r="D13" i="5"/>
  <c r="D14" i="5"/>
  <c r="D15" i="5"/>
  <c r="D3" i="5"/>
  <c r="D4" i="5"/>
  <c r="D5" i="5"/>
  <c r="D6" i="5"/>
  <c r="D7" i="5"/>
  <c r="D8" i="5"/>
  <c r="D30" i="5"/>
  <c r="D31" i="5"/>
  <c r="D32" i="5"/>
  <c r="D33" i="5"/>
  <c r="D34" i="5"/>
  <c r="D35" i="5"/>
  <c r="D36" i="5"/>
  <c r="D38" i="5"/>
  <c r="D39" i="5"/>
  <c r="D40" i="5"/>
  <c r="D41" i="5"/>
  <c r="D42" i="5"/>
  <c r="D43" i="5"/>
  <c r="D37" i="5"/>
  <c r="D29" i="5"/>
  <c r="D23" i="5"/>
  <c r="D16" i="5"/>
  <c r="D9" i="5"/>
  <c r="D2" i="5"/>
  <c r="C2" i="5"/>
  <c r="C18" i="5" s="1"/>
  <c r="C43" i="5"/>
  <c r="F37" i="5" a="1"/>
  <c r="F37" i="5" s="1"/>
  <c r="F30" i="5" a="1"/>
  <c r="F30" i="5" s="1"/>
  <c r="F23" i="5" a="1"/>
  <c r="F23" i="5" s="1"/>
  <c r="F16" i="5" a="1"/>
  <c r="F16" i="5" s="1"/>
  <c r="F9" i="5" a="1"/>
  <c r="F9" i="5" s="1"/>
  <c r="F2" i="5" a="1"/>
  <c r="F2" i="5" s="1"/>
  <c r="H3" i="5"/>
  <c r="H4" i="5"/>
  <c r="H5" i="5"/>
  <c r="H6" i="5"/>
  <c r="H7" i="5"/>
  <c r="H8" i="5"/>
  <c r="C19" i="5" l="1"/>
  <c r="C42" i="5"/>
  <c r="C35" i="5"/>
  <c r="C4" i="5"/>
  <c r="C34" i="5"/>
  <c r="C27" i="5"/>
  <c r="C26" i="5"/>
  <c r="C11" i="5"/>
  <c r="C10" i="5"/>
  <c r="C9" i="5"/>
  <c r="C8" i="5"/>
  <c r="C7" i="5"/>
  <c r="C6" i="5"/>
  <c r="C41" i="5"/>
  <c r="C33" i="5"/>
  <c r="C25" i="5"/>
  <c r="C17" i="5"/>
  <c r="C40" i="5"/>
  <c r="C32" i="5"/>
  <c r="C24" i="5"/>
  <c r="C16" i="5"/>
  <c r="C39" i="5"/>
  <c r="C31" i="5"/>
  <c r="C23" i="5"/>
  <c r="C15" i="5"/>
  <c r="C38" i="5"/>
  <c r="C30" i="5"/>
  <c r="C22" i="5"/>
  <c r="C14" i="5"/>
  <c r="C37" i="5"/>
  <c r="C29" i="5"/>
  <c r="C21" i="5"/>
  <c r="C13" i="5"/>
  <c r="C5" i="5"/>
  <c r="C3" i="5"/>
  <c r="C36" i="5"/>
  <c r="C28" i="5"/>
  <c r="C20" i="5"/>
  <c r="C1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<sst xmlns="http://schemas.openxmlformats.org/spreadsheetml/2006/main" count="598" uniqueCount="270">
  <si>
    <r>
      <rPr>
        <b/>
        <sz val="9"/>
        <rFont val="Trebuchet MS"/>
        <family val="2"/>
      </rPr>
      <t>20 апреля 2025 г.</t>
    </r>
  </si>
  <si>
    <r>
      <rPr>
        <b/>
        <sz val="14"/>
        <rFont val="Trebuchet MS"/>
        <family val="2"/>
      </rPr>
      <t>Коммерческое предложение на перевозку грузов из Юго-Восточной Азии через порт ООО «Терминал Врангель» в Россию</t>
    </r>
  </si>
  <si>
    <r>
      <rPr>
        <b/>
        <sz val="9"/>
        <rFont val="Trebuchet MS"/>
        <family val="2"/>
      </rPr>
      <t xml:space="preserve">Указанные в настоящих предложениях ставки вступают в силу с 20 апреля 2025 года и действуют до начала действия предложения в новой редакции , применяются только в отношении Заявок Клиента на комплексную перевозку грузов полным сервисом Экспедитора, при котором только Экспедитор оказывает весь перечень услуг по доставке груза с пункта отправления до пункта назначения (в частности, как перевозку морским транспортом до границы РФ, так и последующую доставку по территории РФ).
</t>
    </r>
    <r>
      <rPr>
        <b/>
        <sz val="9"/>
        <rFont val="Trebuchet MS"/>
        <family val="2"/>
      </rPr>
      <t xml:space="preserve">Ставки применяются для грузов, в период их действия погруженных на борт судна.
</t>
    </r>
    <r>
      <rPr>
        <b/>
        <sz val="10"/>
        <color rgb="FFA2ACB1"/>
        <rFont val="Trebuchet MS"/>
        <family val="2"/>
      </rPr>
      <t xml:space="preserve">1.  </t>
    </r>
    <r>
      <rPr>
        <b/>
        <sz val="10"/>
        <rFont val="Trebuchet MS"/>
        <family val="2"/>
      </rPr>
      <t>Морская составляющая международной перевозки FI Порт отправления - CY ООО «Терминал Врангель»:</t>
    </r>
  </si>
  <si>
    <r>
      <rPr>
        <b/>
        <sz val="11"/>
        <rFont val="Trebuchet MS"/>
        <family val="2"/>
      </rPr>
      <t>Порт погрузки</t>
    </r>
  </si>
  <si>
    <r>
      <rPr>
        <b/>
        <sz val="11"/>
        <rFont val="Trebuchet MS"/>
        <family val="2"/>
      </rPr>
      <t xml:space="preserve">Стоимость перевозки за
</t>
    </r>
    <r>
      <rPr>
        <b/>
        <sz val="11"/>
        <rFont val="Trebuchet MS"/>
        <family val="2"/>
      </rPr>
      <t>20'DC (COC), долл. США</t>
    </r>
  </si>
  <si>
    <r>
      <rPr>
        <b/>
        <sz val="11"/>
        <rFont val="Trebuchet MS"/>
        <family val="2"/>
      </rPr>
      <t xml:space="preserve">Стоимость перевозки за
</t>
    </r>
    <r>
      <rPr>
        <b/>
        <sz val="11"/>
        <rFont val="Trebuchet MS"/>
        <family val="2"/>
      </rPr>
      <t>40' HC (COC), долл. США</t>
    </r>
  </si>
  <si>
    <r>
      <rPr>
        <b/>
        <sz val="9"/>
        <rFont val="Trebuchet MS"/>
        <family val="2"/>
      </rPr>
      <t>NINGBO</t>
    </r>
  </si>
  <si>
    <r>
      <rPr>
        <b/>
        <sz val="8"/>
        <rFont val="Trebuchet MS"/>
        <family val="2"/>
      </rPr>
      <t>$1 150</t>
    </r>
  </si>
  <si>
    <r>
      <rPr>
        <b/>
        <sz val="8"/>
        <rFont val="Trebuchet MS"/>
        <family val="2"/>
      </rPr>
      <t>$1 600</t>
    </r>
  </si>
  <si>
    <r>
      <rPr>
        <b/>
        <sz val="9"/>
        <rFont val="Trebuchet MS"/>
        <family val="2"/>
      </rPr>
      <t>SHANGHAI</t>
    </r>
  </si>
  <si>
    <r>
      <rPr>
        <b/>
        <sz val="9"/>
        <rFont val="Trebuchet MS"/>
        <family val="2"/>
      </rPr>
      <t>RIZHAO</t>
    </r>
  </si>
  <si>
    <r>
      <rPr>
        <b/>
        <sz val="9"/>
        <rFont val="Trebuchet MS"/>
        <family val="2"/>
      </rPr>
      <t>XINGANG*</t>
    </r>
  </si>
  <si>
    <r>
      <rPr>
        <b/>
        <sz val="8"/>
        <rFont val="Trebuchet MS"/>
        <family val="2"/>
      </rPr>
      <t>$1 650</t>
    </r>
  </si>
  <si>
    <r>
      <rPr>
        <b/>
        <sz val="8"/>
        <rFont val="Trebuchet MS"/>
        <family val="2"/>
      </rPr>
      <t>$1 800</t>
    </r>
  </si>
  <si>
    <r>
      <rPr>
        <b/>
        <sz val="9"/>
        <rFont val="Trebuchet MS"/>
        <family val="2"/>
      </rPr>
      <t>DALIAN*</t>
    </r>
  </si>
  <si>
    <r>
      <rPr>
        <b/>
        <sz val="9"/>
        <rFont val="Trebuchet MS"/>
        <family val="2"/>
      </rPr>
      <t>NANSHA*</t>
    </r>
  </si>
  <si>
    <r>
      <rPr>
        <b/>
        <sz val="8"/>
        <rFont val="Trebuchet MS"/>
        <family val="2"/>
      </rPr>
      <t>$2 900</t>
    </r>
  </si>
  <si>
    <r>
      <rPr>
        <b/>
        <sz val="9"/>
        <rFont val="Trebuchet MS"/>
        <family val="2"/>
      </rPr>
      <t xml:space="preserve">*По данным портам погрузки Drop off charge возможен только в Москве.
</t>
    </r>
    <r>
      <rPr>
        <b/>
        <sz val="9"/>
        <rFont val="Trebuchet MS"/>
        <family val="2"/>
      </rPr>
      <t xml:space="preserve">Предложение не включает линейные сборы на стороне отправления (OTHC, booking, security, handling, docs, telex release fee и иные).
</t>
    </r>
    <r>
      <rPr>
        <b/>
        <sz val="9"/>
        <rFont val="Trebuchet MS"/>
        <family val="2"/>
      </rPr>
      <t xml:space="preserve">Предложение включает в себя DTHC в порту выгрузки.
</t>
    </r>
    <r>
      <rPr>
        <b/>
        <sz val="10"/>
        <color rgb="FFA2ACB1"/>
        <rFont val="Trebuchet MS"/>
        <family val="2"/>
      </rPr>
      <t xml:space="preserve">2.  </t>
    </r>
    <r>
      <rPr>
        <b/>
        <sz val="10"/>
        <rFont val="Trebuchet MS"/>
        <family val="2"/>
      </rPr>
      <t>Наземная составляющая международной перевозки CY Порт  ООО «Терминал Врангель» - FOR Пункт назначения в РФ:</t>
    </r>
  </si>
  <si>
    <r>
      <rPr>
        <b/>
        <sz val="11"/>
        <rFont val="Trebuchet MS"/>
        <family val="2"/>
      </rPr>
      <t>Направление</t>
    </r>
  </si>
  <si>
    <r>
      <rPr>
        <b/>
        <sz val="11"/>
        <rFont val="Trebuchet MS"/>
        <family val="2"/>
      </rPr>
      <t>Стоимость транспортировки</t>
    </r>
  </si>
  <si>
    <r>
      <rPr>
        <b/>
        <sz val="11"/>
        <rFont val="Trebuchet MS"/>
        <family val="2"/>
      </rPr>
      <t>Стоимость транспортировки с учетом сменного сопровождения и охраны</t>
    </r>
  </si>
  <si>
    <r>
      <rPr>
        <b/>
        <sz val="11"/>
        <rFont val="Trebuchet MS"/>
        <family val="2"/>
      </rPr>
      <t xml:space="preserve">Drop off charge
</t>
    </r>
    <r>
      <rPr>
        <b/>
        <sz val="11"/>
        <rFont val="Trebuchet MS"/>
        <family val="2"/>
      </rPr>
      <t>(COC)</t>
    </r>
  </si>
  <si>
    <r>
      <rPr>
        <b/>
        <sz val="8"/>
        <rFont val="Trebuchet MS"/>
        <family val="2"/>
      </rPr>
      <t xml:space="preserve">20' &lt; 24
</t>
    </r>
    <r>
      <rPr>
        <b/>
        <sz val="8"/>
        <rFont val="Trebuchet MS"/>
        <family val="2"/>
      </rPr>
      <t>тонн</t>
    </r>
  </si>
  <si>
    <r>
      <rPr>
        <b/>
        <sz val="8"/>
        <rFont val="Trebuchet MS"/>
        <family val="2"/>
      </rPr>
      <t xml:space="preserve">20' &gt; 24
</t>
    </r>
    <r>
      <rPr>
        <b/>
        <sz val="8"/>
        <rFont val="Trebuchet MS"/>
        <family val="2"/>
      </rPr>
      <t>тонн</t>
    </r>
  </si>
  <si>
    <r>
      <rPr>
        <b/>
        <sz val="9"/>
        <rFont val="Trebuchet MS"/>
        <family val="2"/>
      </rPr>
      <t>МОСКВА</t>
    </r>
  </si>
  <si>
    <r>
      <rPr>
        <b/>
        <sz val="8"/>
        <rFont val="Trebuchet MS"/>
        <family val="2"/>
      </rPr>
      <t>165 000₽</t>
    </r>
  </si>
  <si>
    <r>
      <rPr>
        <b/>
        <sz val="8"/>
        <rFont val="Trebuchet MS"/>
        <family val="2"/>
      </rPr>
      <t>190 000₽</t>
    </r>
  </si>
  <si>
    <r>
      <rPr>
        <b/>
        <sz val="8"/>
        <rFont val="Trebuchet MS"/>
        <family val="2"/>
      </rPr>
      <t>235 000₽</t>
    </r>
  </si>
  <si>
    <r>
      <rPr>
        <b/>
        <sz val="8"/>
        <rFont val="Trebuchet MS"/>
        <family val="2"/>
      </rPr>
      <t>169 300₽</t>
    </r>
  </si>
  <si>
    <r>
      <rPr>
        <b/>
        <sz val="8"/>
        <rFont val="Trebuchet MS"/>
        <family val="2"/>
      </rPr>
      <t>194 300₽</t>
    </r>
  </si>
  <si>
    <r>
      <rPr>
        <b/>
        <sz val="8"/>
        <rFont val="Trebuchet MS"/>
        <family val="2"/>
      </rPr>
      <t>244 000₽</t>
    </r>
  </si>
  <si>
    <r>
      <rPr>
        <b/>
        <sz val="9"/>
        <rFont val="Trebuchet MS"/>
        <family val="2"/>
      </rPr>
      <t>ЕКАТЕРИНБУРГ</t>
    </r>
  </si>
  <si>
    <r>
      <rPr>
        <b/>
        <sz val="8"/>
        <rFont val="Trebuchet MS"/>
        <family val="2"/>
      </rPr>
      <t>185 000₽</t>
    </r>
  </si>
  <si>
    <r>
      <rPr>
        <b/>
        <sz val="8"/>
        <rFont val="Trebuchet MS"/>
        <family val="2"/>
      </rPr>
      <t>208 000₽</t>
    </r>
  </si>
  <si>
    <r>
      <rPr>
        <b/>
        <sz val="8"/>
        <rFont val="Trebuchet MS"/>
        <family val="2"/>
      </rPr>
      <t>255 000₽</t>
    </r>
  </si>
  <si>
    <r>
      <rPr>
        <b/>
        <sz val="8"/>
        <rFont val="Trebuchet MS"/>
        <family val="2"/>
      </rPr>
      <t>188 400₽</t>
    </r>
  </si>
  <si>
    <r>
      <rPr>
        <b/>
        <sz val="8"/>
        <rFont val="Trebuchet MS"/>
        <family val="2"/>
      </rPr>
      <t>211 400₽</t>
    </r>
  </si>
  <si>
    <r>
      <rPr>
        <b/>
        <sz val="8"/>
        <rFont val="Trebuchet MS"/>
        <family val="2"/>
      </rPr>
      <t>294 500₽</t>
    </r>
  </si>
  <si>
    <r>
      <rPr>
        <b/>
        <sz val="9"/>
        <rFont val="Trebuchet MS"/>
        <family val="2"/>
      </rPr>
      <t>НОВОСИБИРСК</t>
    </r>
  </si>
  <si>
    <r>
      <rPr>
        <b/>
        <sz val="8"/>
        <rFont val="Trebuchet MS"/>
        <family val="2"/>
      </rPr>
      <t>152 000₽</t>
    </r>
  </si>
  <si>
    <r>
      <rPr>
        <b/>
        <sz val="8"/>
        <rFont val="Trebuchet MS"/>
        <family val="2"/>
      </rPr>
      <t>172 000₽</t>
    </r>
  </si>
  <si>
    <r>
      <rPr>
        <b/>
        <sz val="8"/>
        <rFont val="Trebuchet MS"/>
        <family val="2"/>
      </rPr>
      <t>217 000₽</t>
    </r>
  </si>
  <si>
    <r>
      <rPr>
        <b/>
        <sz val="8"/>
        <rFont val="Trebuchet MS"/>
        <family val="2"/>
      </rPr>
      <t>171 800₽</t>
    </r>
  </si>
  <si>
    <r>
      <rPr>
        <b/>
        <sz val="8"/>
        <rFont val="Trebuchet MS"/>
        <family val="2"/>
      </rPr>
      <t>191 800₽</t>
    </r>
  </si>
  <si>
    <r>
      <rPr>
        <b/>
        <sz val="8"/>
        <rFont val="Trebuchet MS"/>
        <family val="2"/>
      </rPr>
      <t>250 200₽</t>
    </r>
  </si>
  <si>
    <r>
      <rPr>
        <b/>
        <sz val="9"/>
        <rFont val="Trebuchet MS"/>
        <family val="2"/>
      </rPr>
      <t>САНКТ-ПЕТЕРБУРГ</t>
    </r>
  </si>
  <si>
    <r>
      <rPr>
        <b/>
        <sz val="8"/>
        <rFont val="Trebuchet MS"/>
        <family val="2"/>
      </rPr>
      <t>176 000₽</t>
    </r>
  </si>
  <si>
    <r>
      <rPr>
        <b/>
        <sz val="8"/>
        <rFont val="Trebuchet MS"/>
        <family val="2"/>
      </rPr>
      <t>202 000₽</t>
    </r>
  </si>
  <si>
    <r>
      <rPr>
        <b/>
        <sz val="8"/>
        <rFont val="Trebuchet MS"/>
        <family val="2"/>
      </rPr>
      <t>317 000₽</t>
    </r>
  </si>
  <si>
    <r>
      <rPr>
        <b/>
        <sz val="8"/>
        <rFont val="Trebuchet MS"/>
        <family val="2"/>
      </rPr>
      <t>180 700₽</t>
    </r>
  </si>
  <si>
    <r>
      <rPr>
        <b/>
        <sz val="8"/>
        <rFont val="Trebuchet MS"/>
        <family val="2"/>
      </rPr>
      <t>206 700₽</t>
    </r>
  </si>
  <si>
    <r>
      <rPr>
        <b/>
        <sz val="8"/>
        <rFont val="Trebuchet MS"/>
        <family val="2"/>
      </rPr>
      <t>326 400₽</t>
    </r>
  </si>
  <si>
    <r>
      <rPr>
        <b/>
        <sz val="9"/>
        <rFont val="Trebuchet MS"/>
        <family val="2"/>
      </rPr>
      <t>ТОЛЬЯТТИ</t>
    </r>
  </si>
  <si>
    <r>
      <rPr>
        <b/>
        <sz val="8"/>
        <rFont val="Trebuchet MS"/>
        <family val="2"/>
      </rPr>
      <t>187 000₽</t>
    </r>
  </si>
  <si>
    <r>
      <rPr>
        <b/>
        <sz val="8"/>
        <rFont val="Trebuchet MS"/>
        <family val="2"/>
      </rPr>
      <t>211 000₽</t>
    </r>
  </si>
  <si>
    <r>
      <rPr>
        <b/>
        <sz val="8"/>
        <rFont val="Trebuchet MS"/>
        <family val="2"/>
      </rPr>
      <t>332 000₽</t>
    </r>
  </si>
  <si>
    <r>
      <rPr>
        <b/>
        <sz val="8"/>
        <rFont val="Trebuchet MS"/>
        <family val="2"/>
      </rPr>
      <t>190 800₽</t>
    </r>
  </si>
  <si>
    <r>
      <rPr>
        <b/>
        <sz val="8"/>
        <rFont val="Trebuchet MS"/>
        <family val="2"/>
      </rPr>
      <t>214 800₽</t>
    </r>
  </si>
  <si>
    <r>
      <rPr>
        <b/>
        <sz val="8"/>
        <rFont val="Trebuchet MS"/>
        <family val="2"/>
      </rPr>
      <t>339 600₽</t>
    </r>
  </si>
  <si>
    <r>
      <rPr>
        <b/>
        <sz val="9"/>
        <rFont val="Trebuchet MS"/>
        <family val="2"/>
      </rPr>
      <t>КРАСНОЯРСК</t>
    </r>
  </si>
  <si>
    <r>
      <rPr>
        <b/>
        <sz val="8"/>
        <rFont val="Trebuchet MS"/>
        <family val="2"/>
      </rPr>
      <t>157 000₽</t>
    </r>
  </si>
  <si>
    <r>
      <rPr>
        <b/>
        <sz val="8"/>
        <rFont val="Trebuchet MS"/>
        <family val="2"/>
      </rPr>
      <t>213 000₽</t>
    </r>
  </si>
  <si>
    <r>
      <rPr>
        <b/>
        <sz val="8"/>
        <rFont val="Trebuchet MS"/>
        <family val="2"/>
      </rPr>
      <t>175 000₽</t>
    </r>
  </si>
  <si>
    <r>
      <rPr>
        <b/>
        <sz val="8"/>
        <rFont val="Trebuchet MS"/>
        <family val="2"/>
      </rPr>
      <t>194 000₽</t>
    </r>
  </si>
  <si>
    <r>
      <rPr>
        <b/>
        <sz val="8"/>
        <rFont val="Trebuchet MS"/>
        <family val="2"/>
      </rPr>
      <t>243 100₽</t>
    </r>
  </si>
  <si>
    <r>
      <rPr>
        <b/>
        <sz val="9"/>
        <rFont val="Trebuchet MS"/>
        <family val="2"/>
      </rPr>
      <t>РОСТОВ-НА-ДОНУ*</t>
    </r>
  </si>
  <si>
    <r>
      <rPr>
        <b/>
        <sz val="8"/>
        <rFont val="Trebuchet MS"/>
        <family val="2"/>
      </rPr>
      <t>199 000₽</t>
    </r>
  </si>
  <si>
    <r>
      <rPr>
        <b/>
        <sz val="8"/>
        <rFont val="Trebuchet MS"/>
        <family val="2"/>
      </rPr>
      <t>226 000₽</t>
    </r>
  </si>
  <si>
    <r>
      <rPr>
        <b/>
        <sz val="8"/>
        <rFont val="Trebuchet MS"/>
        <family val="2"/>
      </rPr>
      <t>365 000₽</t>
    </r>
  </si>
  <si>
    <r>
      <rPr>
        <b/>
        <sz val="8"/>
        <rFont val="Trebuchet MS"/>
        <family val="2"/>
      </rPr>
      <t>203 300₽</t>
    </r>
  </si>
  <si>
    <r>
      <rPr>
        <b/>
        <sz val="8"/>
        <rFont val="Trebuchet MS"/>
        <family val="2"/>
      </rPr>
      <t>230 300₽</t>
    </r>
  </si>
  <si>
    <r>
      <rPr>
        <b/>
        <sz val="8"/>
        <rFont val="Trebuchet MS"/>
        <family val="2"/>
      </rPr>
      <t>373 500₽</t>
    </r>
  </si>
  <si>
    <r>
      <rPr>
        <b/>
        <sz val="9"/>
        <rFont val="Trebuchet MS"/>
        <family val="2"/>
      </rPr>
      <t xml:space="preserve">*По направлению Ростов-На-Дону для контейнеров 40 HС тарифы действительны при условии полного мультимодального комплекса Экспедитора, включая автодоставку в конечном пункте назначения.
</t>
    </r>
    <r>
      <rPr>
        <b/>
        <sz val="9"/>
        <rFont val="Trebuchet MS"/>
        <family val="2"/>
      </rPr>
      <t>В случае изменения по инициативе Клиента дальнейшего маршрута перевозки после прибытия груза на территорию РФ на маршрут, отличный от ранее согласованного Сторонами в Заявке, Экспедитор в праве осуществить перерасчет тарифа организации дальнейшей перевозки.</t>
    </r>
  </si>
  <si>
    <r>
      <rPr>
        <b/>
        <sz val="10"/>
        <color rgb="FFA2ACB1"/>
        <rFont val="Trebuchet MS"/>
        <family val="2"/>
      </rPr>
      <t xml:space="preserve">3. </t>
    </r>
    <r>
      <rPr>
        <b/>
        <sz val="10"/>
        <rFont val="Trebuchet MS"/>
        <family val="2"/>
      </rPr>
      <t xml:space="preserve">Условия использования предложения:
</t>
    </r>
    <r>
      <rPr>
        <b/>
        <sz val="9"/>
        <rFont val="Trebuchet MS"/>
        <family val="2"/>
      </rPr>
      <t xml:space="preserve">- Ставки даны для грузов, перевозимых из портов, расположенных на территории иностранных государств, через ООО
</t>
    </r>
    <r>
      <rPr>
        <b/>
        <sz val="9"/>
        <rFont val="Trebuchet MS"/>
        <family val="2"/>
      </rPr>
      <t xml:space="preserve">«Терминал Врангель» и следующих далее железнодорожным транспортом на станции сети дорог РЖД;
</t>
    </r>
    <r>
      <rPr>
        <b/>
        <sz val="9"/>
        <rFont val="Trebuchet MS"/>
        <family val="2"/>
      </rPr>
      <t xml:space="preserve">- Ставки не применимы к перевозкам тяжеловесных, опасных и скоропортящихся грузов, грузов во флекси-танках, танк- контейнерах и иных специализированных контейнерах;
</t>
    </r>
    <r>
      <rPr>
        <b/>
        <sz val="9"/>
        <rFont val="Trebuchet MS"/>
        <family val="2"/>
      </rPr>
      <t xml:space="preserve">- Ставки действительны для грузов, прошедших таможенное оформление в порту ООО «Терминал Врангель», которое осуществляется силами Клиента и за его счет;
</t>
    </r>
    <r>
      <rPr>
        <b/>
        <sz val="9"/>
        <rFont val="Trebuchet MS"/>
        <family val="2"/>
      </rPr>
      <t>- Ставки на 20-ти футовые контейнеры даны при условии отправки парных контейнеров, из расчета на один 20-ти футовый контейнер;</t>
    </r>
  </si>
  <si>
    <r>
      <rPr>
        <b/>
        <sz val="9"/>
        <rFont val="Trebuchet MS"/>
        <family val="2"/>
      </rPr>
      <t>- Масса одного грузового места не должна превышать 1500 кг веса брутто;</t>
    </r>
  </si>
  <si>
    <r>
      <rPr>
        <b/>
        <sz val="10"/>
        <color rgb="FFA2ACB1"/>
        <rFont val="Trebuchet MS"/>
        <family val="2"/>
      </rPr>
      <t xml:space="preserve">4.  </t>
    </r>
    <r>
      <rPr>
        <b/>
        <sz val="10"/>
        <rFont val="Trebuchet MS"/>
        <family val="2"/>
      </rPr>
      <t>Предложение включает в себя:</t>
    </r>
  </si>
  <si>
    <r>
      <rPr>
        <b/>
        <sz val="9"/>
        <rFont val="Trebuchet MS"/>
        <family val="2"/>
      </rPr>
      <t xml:space="preserve">- Обязательные терминальные расходы при отгрузке контейнеров на жд;
</t>
    </r>
    <r>
      <rPr>
        <b/>
        <sz val="9"/>
        <rFont val="Trebuchet MS"/>
        <family val="2"/>
      </rPr>
      <t xml:space="preserve">- Организация жд перевозки станция-станция;
</t>
    </r>
    <r>
      <rPr>
        <b/>
        <sz val="9"/>
        <rFont val="Trebuchet MS"/>
        <family val="2"/>
      </rPr>
      <t xml:space="preserve">- Нормативный срок хранения на терминале ООО «Терминал Врангель» – 8 суток;
</t>
    </r>
    <r>
      <rPr>
        <b/>
        <sz val="9"/>
        <rFont val="Trebuchet MS"/>
        <family val="2"/>
      </rPr>
      <t>- Экспедирование на терминале отправления;</t>
    </r>
  </si>
  <si>
    <r>
      <rPr>
        <b/>
        <sz val="10"/>
        <color rgb="FFA2ACB1"/>
        <rFont val="Trebuchet MS"/>
        <family val="2"/>
      </rPr>
      <t xml:space="preserve">5.  </t>
    </r>
    <r>
      <rPr>
        <b/>
        <sz val="10"/>
        <rFont val="Trebuchet MS"/>
        <family val="2"/>
      </rPr>
      <t xml:space="preserve">Предложение не включает в себя налоги, которые начисляются и оплачиваются в соответствии с действующим законодательством, а также стоимость услуг по организации:
</t>
    </r>
    <r>
      <rPr>
        <b/>
        <sz val="9"/>
        <rFont val="Trebuchet MS"/>
        <family val="2"/>
      </rPr>
      <t xml:space="preserve">- Загрузки/выгрузки груза в/из контейнера;
</t>
    </r>
    <r>
      <rPr>
        <b/>
        <sz val="9"/>
        <rFont val="Trebuchet MS"/>
        <family val="2"/>
      </rPr>
      <t xml:space="preserve">- Пропуска транспортного средства к месту выгрузки;
</t>
    </r>
    <r>
      <rPr>
        <b/>
        <sz val="9"/>
        <rFont val="Trebuchet MS"/>
        <family val="2"/>
      </rPr>
      <t xml:space="preserve">- Хранения сверх установленных портом свободных периодов;
</t>
    </r>
    <r>
      <rPr>
        <b/>
        <sz val="9"/>
        <rFont val="Trebuchet MS"/>
        <family val="2"/>
      </rPr>
      <t xml:space="preserve">- Таможенного оформления и мероприятий по таможенному контролю;
</t>
    </r>
    <r>
      <rPr>
        <b/>
        <sz val="9"/>
        <rFont val="Trebuchet MS"/>
        <family val="2"/>
      </rPr>
      <t>- Радиационного, иных видов контроля, взвешивания контейнеров, перемещения их по терминалу и т.д.;</t>
    </r>
  </si>
  <si>
    <r>
      <rPr>
        <b/>
        <sz val="10"/>
        <color rgb="FFA2ACB1"/>
        <rFont val="Trebuchet MS"/>
        <family val="2"/>
      </rPr>
      <t xml:space="preserve">6.  </t>
    </r>
    <r>
      <rPr>
        <b/>
        <sz val="10"/>
        <rFont val="Trebuchet MS"/>
        <family val="2"/>
      </rPr>
      <t>Организация доставки груза автомобильным транспортом в рамках международной перевозки (CY cтанция назначения в РФ – FOT Пункт назначения в РФ)</t>
    </r>
  </si>
  <si>
    <r>
      <rPr>
        <b/>
        <sz val="8"/>
        <rFont val="Trebuchet MS"/>
        <family val="2"/>
      </rPr>
      <t>20' &lt; 18 тонн</t>
    </r>
  </si>
  <si>
    <r>
      <rPr>
        <b/>
        <sz val="8"/>
        <rFont val="Trebuchet MS"/>
        <family val="2"/>
      </rPr>
      <t>40' &lt; 20 тонн</t>
    </r>
  </si>
  <si>
    <r>
      <rPr>
        <b/>
        <sz val="8"/>
        <rFont val="Trebuchet MS"/>
        <family val="2"/>
      </rPr>
      <t>44 000 ₽</t>
    </r>
  </si>
  <si>
    <r>
      <rPr>
        <b/>
        <sz val="8"/>
        <rFont val="Trebuchet MS"/>
        <family val="2"/>
      </rPr>
      <t>47 000 ₽</t>
    </r>
  </si>
  <si>
    <r>
      <rPr>
        <b/>
        <sz val="8"/>
        <rFont val="Trebuchet MS"/>
        <family val="2"/>
      </rPr>
      <t>32 000 ₽</t>
    </r>
  </si>
  <si>
    <r>
      <rPr>
        <b/>
        <sz val="8"/>
        <rFont val="Trebuchet MS"/>
        <family val="2"/>
      </rPr>
      <t>33 000 ₽</t>
    </r>
  </si>
  <si>
    <r>
      <rPr>
        <b/>
        <sz val="8"/>
        <rFont val="Trebuchet MS"/>
        <family val="2"/>
      </rPr>
      <t>37 000 ₽</t>
    </r>
  </si>
  <si>
    <r>
      <rPr>
        <b/>
        <sz val="8"/>
        <rFont val="Trebuchet MS"/>
        <family val="2"/>
      </rPr>
      <t>41 000 ₽</t>
    </r>
  </si>
  <si>
    <r>
      <rPr>
        <b/>
        <sz val="8"/>
        <rFont val="Trebuchet MS"/>
        <family val="2"/>
      </rPr>
      <t>40 000 ₽</t>
    </r>
  </si>
  <si>
    <r>
      <rPr>
        <b/>
        <sz val="9"/>
        <rFont val="Trebuchet MS"/>
        <family val="2"/>
      </rPr>
      <t>РОСТОВ-НА-ДОНУ</t>
    </r>
  </si>
  <si>
    <r>
      <rPr>
        <b/>
        <sz val="8"/>
        <rFont val="Trebuchet MS"/>
        <family val="2"/>
      </rPr>
      <t>38 000 ₽</t>
    </r>
  </si>
  <si>
    <r>
      <rPr>
        <b/>
        <sz val="8"/>
        <rFont val="Trebuchet MS"/>
        <family val="2"/>
      </rPr>
      <t>28 000 ₽</t>
    </r>
  </si>
  <si>
    <r>
      <rPr>
        <b/>
        <sz val="9"/>
        <rFont val="Trebuchet MS"/>
        <family val="2"/>
      </rPr>
      <t>ЧЕЛЯБИНСК*</t>
    </r>
  </si>
  <si>
    <r>
      <rPr>
        <b/>
        <sz val="8"/>
        <rFont val="Trebuchet MS"/>
        <family val="2"/>
      </rPr>
      <t>64 000 ₽</t>
    </r>
  </si>
  <si>
    <r>
      <rPr>
        <b/>
        <sz val="8"/>
        <rFont val="Trebuchet MS"/>
        <family val="2"/>
      </rPr>
      <t>67 000 ₽</t>
    </r>
  </si>
  <si>
    <r>
      <rPr>
        <b/>
        <sz val="9"/>
        <rFont val="Trebuchet MS"/>
        <family val="2"/>
      </rPr>
      <t>УФА*</t>
    </r>
  </si>
  <si>
    <r>
      <rPr>
        <b/>
        <sz val="8"/>
        <rFont val="Trebuchet MS"/>
        <family val="2"/>
      </rPr>
      <t>111 000 ₽</t>
    </r>
  </si>
  <si>
    <r>
      <rPr>
        <b/>
        <sz val="8"/>
        <rFont val="Trebuchet MS"/>
        <family val="2"/>
      </rPr>
      <t>113 000 ₽</t>
    </r>
  </si>
  <si>
    <r>
      <rPr>
        <b/>
        <sz val="9"/>
        <rFont val="Trebuchet MS"/>
        <family val="2"/>
      </rPr>
      <t>ПЕРМЬ*</t>
    </r>
  </si>
  <si>
    <r>
      <rPr>
        <b/>
        <sz val="8"/>
        <rFont val="Trebuchet MS"/>
        <family val="2"/>
      </rPr>
      <t>81 000 ₽</t>
    </r>
  </si>
  <si>
    <r>
      <rPr>
        <b/>
        <sz val="9"/>
        <rFont val="Trebuchet MS"/>
        <family val="2"/>
      </rPr>
      <t>ТЮМЕНЬ*</t>
    </r>
  </si>
  <si>
    <r>
      <rPr>
        <b/>
        <sz val="9"/>
        <rFont val="Trebuchet MS"/>
        <family val="2"/>
      </rPr>
      <t>НАБЕРЕЖНЫЕ ЧЕЛНЫ*</t>
    </r>
  </si>
  <si>
    <r>
      <rPr>
        <b/>
        <sz val="8"/>
        <rFont val="Trebuchet MS"/>
        <family val="2"/>
      </rPr>
      <t>154 000 ₽</t>
    </r>
  </si>
  <si>
    <r>
      <rPr>
        <b/>
        <sz val="8"/>
        <rFont val="Trebuchet MS"/>
        <family val="2"/>
      </rPr>
      <t>156 000 ₽</t>
    </r>
  </si>
  <si>
    <r>
      <rPr>
        <b/>
        <sz val="9"/>
        <rFont val="Trebuchet MS"/>
        <family val="2"/>
      </rPr>
      <t>КАЗАНЬ**</t>
    </r>
  </si>
  <si>
    <r>
      <rPr>
        <b/>
        <sz val="8"/>
        <rFont val="Trebuchet MS"/>
        <family val="2"/>
      </rPr>
      <t>128 000 ₽</t>
    </r>
  </si>
  <si>
    <r>
      <rPr>
        <b/>
        <sz val="8"/>
        <rFont val="Trebuchet MS"/>
        <family val="2"/>
      </rPr>
      <t>130 000 ₽</t>
    </r>
  </si>
  <si>
    <r>
      <rPr>
        <b/>
        <sz val="8"/>
        <rFont val="Trebuchet MS"/>
        <family val="2"/>
      </rPr>
      <t xml:space="preserve">* - доставка до склада в пункте назначения со сдачей порожних контейнеров в Екатеринбурге
</t>
    </r>
    <r>
      <rPr>
        <b/>
        <sz val="8"/>
        <rFont val="Trebuchet MS"/>
        <family val="2"/>
      </rPr>
      <t xml:space="preserve">** - доставка до склада в пункте назначения со сдачей порожних контейнеров в Москве
</t>
    </r>
    <r>
      <rPr>
        <b/>
        <sz val="9"/>
        <rFont val="Trebuchet MS"/>
        <family val="2"/>
      </rPr>
      <t>Ставки включают прием на станции и погрузку груженого контейнера на автомобиль и доставка его от железнодорожной станции до склада получателя. (включен один адрес доставки)</t>
    </r>
  </si>
  <si>
    <r>
      <rPr>
        <b/>
        <sz val="9"/>
        <rFont val="Trebuchet MS"/>
        <family val="2"/>
      </rPr>
      <t xml:space="preserve">В Москве доставка осуществляется в пределах МКАД, в Санкт-Петербурге в пределах КАД. Вывоз по Тольятти осуществляется для контейнеров весом брутто не более 25т.
</t>
    </r>
    <r>
      <rPr>
        <b/>
        <sz val="9"/>
        <rFont val="Trebuchet MS"/>
        <family val="2"/>
      </rPr>
      <t xml:space="preserve">Ставки на услуги,указанные в пункте 6 применяются для перевозки 20/40 контейнеров, сумма массы-брутто груза, которого не превышает 18/20 тонн соответственно.
</t>
    </r>
    <r>
      <rPr>
        <b/>
        <sz val="9"/>
        <rFont val="Trebuchet MS"/>
        <family val="2"/>
      </rPr>
      <t xml:space="preserve">Нормативный простой автотранспорта при выгрузке в Москве 20/40-футового контейнера 4/5 часов соответственно.
</t>
    </r>
    <r>
      <rPr>
        <b/>
        <sz val="9"/>
        <rFont val="Trebuchet MS"/>
        <family val="2"/>
      </rPr>
      <t xml:space="preserve">Нормативный простой автотранспорта при выгрузке в Новосибирске 20/40-футового контейнера 3/4 часа соответственно.
</t>
    </r>
    <r>
      <rPr>
        <b/>
        <sz val="9"/>
        <rFont val="Trebuchet MS"/>
        <family val="2"/>
      </rPr>
      <t xml:space="preserve">Нормативный простой автотранспорта при выгрузке в Екатеринбурге 20/40-футового контейнера 3/4 часа соответственно.
</t>
    </r>
    <r>
      <rPr>
        <b/>
        <sz val="9"/>
        <rFont val="Trebuchet MS"/>
        <family val="2"/>
      </rPr>
      <t xml:space="preserve">Нормативный простой автотранспорта при выгрузке в Санкт-Петербурге 20/40-футового контейнера 4/5 часов соответственно.
</t>
    </r>
    <r>
      <rPr>
        <b/>
        <sz val="9"/>
        <rFont val="Trebuchet MS"/>
        <family val="2"/>
      </rPr>
      <t xml:space="preserve">Нормативный простой автотранспорта при выгрузке в Ростове-на-Дону 20/40-футового контейнера 4/5 часов соответственно.
</t>
    </r>
    <r>
      <rPr>
        <b/>
        <sz val="9"/>
        <rFont val="Trebuchet MS"/>
        <family val="2"/>
      </rPr>
      <t>Нормативный простой автотранспорта при выгрузке в Тольятти 20/40-футового контейнера 4 часа соответственно. Нормативный простой автотранспорта при выгрузке в Красноярске 20/40-футового контейнера 3/4 часа соответственно.</t>
    </r>
  </si>
  <si>
    <r>
      <rPr>
        <b/>
        <sz val="10"/>
        <color rgb="FFA2ACB1"/>
        <rFont val="Trebuchet MS"/>
        <family val="2"/>
      </rPr>
      <t xml:space="preserve">7.  </t>
    </r>
    <r>
      <rPr>
        <b/>
        <sz val="10"/>
        <rFont val="Trebuchet MS"/>
        <family val="2"/>
      </rPr>
      <t>Дополнительные услуги при автодоставке по Москве:</t>
    </r>
  </si>
  <si>
    <r>
      <rPr>
        <b/>
        <sz val="11"/>
        <rFont val="Trebuchet MS"/>
        <family val="2"/>
      </rPr>
      <t>Наименование услуги</t>
    </r>
  </si>
  <si>
    <r>
      <rPr>
        <b/>
        <sz val="11"/>
        <rFont val="Trebuchet MS"/>
        <family val="2"/>
      </rPr>
      <t>Стоимость</t>
    </r>
  </si>
  <si>
    <r>
      <rPr>
        <b/>
        <sz val="9"/>
        <rFont val="Trebuchet MS"/>
        <family val="2"/>
      </rPr>
      <t>Перепробег за пределы МКАД</t>
    </r>
  </si>
  <si>
    <r>
      <rPr>
        <b/>
        <sz val="8"/>
        <rFont val="Trebuchet MS"/>
        <family val="2"/>
      </rPr>
      <t>110 ₽ / км.</t>
    </r>
  </si>
  <si>
    <r>
      <rPr>
        <b/>
        <sz val="10"/>
        <color rgb="FFA2ACB1"/>
        <rFont val="Trebuchet MS"/>
        <family val="2"/>
      </rPr>
      <t xml:space="preserve">8.  </t>
    </r>
    <r>
      <rPr>
        <b/>
        <sz val="10"/>
        <rFont val="Trebuchet MS"/>
        <family val="2"/>
      </rPr>
      <t>Превышение нормы загрузки контейнеров при вывозе автотранспортом свыше 18/20 тонн:</t>
    </r>
  </si>
  <si>
    <r>
      <rPr>
        <b/>
        <sz val="8"/>
        <rFont val="Trebuchet MS"/>
        <family val="2"/>
      </rPr>
      <t>20' &gt; 18 тонн</t>
    </r>
  </si>
  <si>
    <r>
      <rPr>
        <b/>
        <sz val="8"/>
        <rFont val="Trebuchet MS"/>
        <family val="2"/>
      </rPr>
      <t>40' &gt; 20 тонн</t>
    </r>
  </si>
  <si>
    <r>
      <rPr>
        <b/>
        <sz val="8"/>
        <rFont val="Trebuchet MS"/>
        <family val="2"/>
      </rPr>
      <t>2 500 ₽/ тонна</t>
    </r>
  </si>
  <si>
    <r>
      <rPr>
        <b/>
        <sz val="8"/>
        <rFont val="Trebuchet MS"/>
        <family val="2"/>
      </rPr>
      <t>1 000 ₽/ тонна</t>
    </r>
  </si>
  <si>
    <r>
      <rPr>
        <b/>
        <sz val="8"/>
        <rFont val="Trebuchet MS"/>
        <family val="2"/>
      </rPr>
      <t>1 500 ₽/ тонна</t>
    </r>
  </si>
  <si>
    <r>
      <rPr>
        <b/>
        <sz val="8"/>
        <rFont val="Trebuchet MS"/>
        <family val="2"/>
      </rPr>
      <t>1 200 ₽/ тонна</t>
    </r>
  </si>
  <si>
    <r>
      <rPr>
        <b/>
        <sz val="10"/>
        <color rgb="FFA2ACB1"/>
        <rFont val="Trebuchet MS"/>
        <family val="2"/>
      </rPr>
      <t xml:space="preserve">9.  </t>
    </r>
    <r>
      <rPr>
        <b/>
        <sz val="10"/>
        <rFont val="Trebuchet MS"/>
        <family val="2"/>
      </rPr>
      <t>Простой сверх нормы автотранспорта при выгрузке:</t>
    </r>
  </si>
  <si>
    <r>
      <rPr>
        <b/>
        <sz val="8"/>
        <rFont val="Trebuchet MS"/>
        <family val="2"/>
      </rPr>
      <t>2 000 ₽/ час</t>
    </r>
  </si>
  <si>
    <r>
      <rPr>
        <b/>
        <sz val="8"/>
        <rFont val="Trebuchet MS"/>
        <family val="2"/>
      </rPr>
      <t>1 100 ₽/ час</t>
    </r>
  </si>
  <si>
    <r>
      <rPr>
        <b/>
        <sz val="8"/>
        <rFont val="Trebuchet MS"/>
        <family val="2"/>
      </rPr>
      <t>1 000 ₽/ час</t>
    </r>
  </si>
  <si>
    <r>
      <rPr>
        <b/>
        <sz val="8"/>
        <rFont val="Trebuchet MS"/>
        <family val="2"/>
      </rPr>
      <t>1 800 ₽/ час</t>
    </r>
  </si>
  <si>
    <r>
      <rPr>
        <b/>
        <sz val="10"/>
        <color rgb="FFA2ACB1"/>
        <rFont val="Trebuchet MS"/>
        <family val="2"/>
      </rPr>
      <t xml:space="preserve">10. </t>
    </r>
    <r>
      <rPr>
        <b/>
        <sz val="10"/>
        <rFont val="Trebuchet MS"/>
        <family val="2"/>
      </rPr>
      <t xml:space="preserve">Условия использования контейнеров:
</t>
    </r>
    <r>
      <rPr>
        <b/>
        <sz val="9"/>
        <rFont val="Trebuchet MS"/>
        <family val="2"/>
      </rPr>
      <t>Нормативный период использования контейнеров, включенные в предложение (считается с момента прибытия в порт, по дату сдачи порожнего в пункте назначения):</t>
    </r>
  </si>
  <si>
    <r>
      <rPr>
        <b/>
        <sz val="11"/>
        <rFont val="Trebuchet MS"/>
        <family val="2"/>
      </rPr>
      <t>Свободный период, сутки</t>
    </r>
  </si>
  <si>
    <r>
      <rPr>
        <b/>
        <sz val="9"/>
        <rFont val="Trebuchet MS"/>
        <family val="2"/>
      </rPr>
      <t xml:space="preserve">МОСКВА, САНКТ-ПЕТЕРБУРГ, РОСТОВ-НА-ДОНУ,
</t>
    </r>
    <r>
      <rPr>
        <b/>
        <sz val="9"/>
        <rFont val="Trebuchet MS"/>
        <family val="2"/>
      </rPr>
      <t>ТОЛЬЯТТИ</t>
    </r>
  </si>
  <si>
    <r>
      <rPr>
        <b/>
        <sz val="9"/>
        <rFont val="Trebuchet MS"/>
        <family val="2"/>
      </rPr>
      <t>НОВОСИБИРСК, КРАСНОЯРСК</t>
    </r>
  </si>
  <si>
    <r>
      <rPr>
        <b/>
        <sz val="9"/>
        <rFont val="Trebuchet MS"/>
        <family val="2"/>
      </rPr>
      <t xml:space="preserve">За использование контейнера сверх вышеуказанного нормативного периода, производится оплата в размере
</t>
    </r>
    <r>
      <rPr>
        <b/>
        <sz val="9"/>
        <rFont val="Trebuchet MS"/>
        <family val="2"/>
      </rPr>
      <t>10 долл. США за 20-футовый контейнер в сутки и 20 долл. США за 40-футовый контейнер в сутки.</t>
    </r>
  </si>
  <si>
    <r>
      <rPr>
        <b/>
        <sz val="10"/>
        <color rgb="FFA2ACB1"/>
        <rFont val="Trebuchet MS"/>
        <family val="2"/>
      </rPr>
      <t xml:space="preserve">11.  </t>
    </r>
    <r>
      <rPr>
        <b/>
        <sz val="10"/>
        <rFont val="Trebuchet MS"/>
        <family val="2"/>
      </rPr>
      <t>Ставки на услуги, оказываемые на территории терминала ООО «Терминал Врангель», не включённые в предложение:</t>
    </r>
  </si>
  <si>
    <r>
      <rPr>
        <b/>
        <sz val="11"/>
        <rFont val="Trebuchet MS"/>
        <family val="2"/>
      </rPr>
      <t>20'DC</t>
    </r>
  </si>
  <si>
    <r>
      <rPr>
        <b/>
        <sz val="11"/>
        <rFont val="Trebuchet MS"/>
        <family val="2"/>
      </rPr>
      <t>40' HC</t>
    </r>
  </si>
  <si>
    <r>
      <rPr>
        <b/>
        <sz val="8"/>
        <rFont val="Trebuchet MS"/>
        <family val="2"/>
      </rPr>
      <t>Организация хранения с 9-х по 24-е сутки, НДС 0%</t>
    </r>
  </si>
  <si>
    <r>
      <rPr>
        <b/>
        <sz val="8"/>
        <rFont val="Trebuchet MS"/>
        <family val="2"/>
      </rPr>
      <t>2 340 ₽</t>
    </r>
  </si>
  <si>
    <r>
      <rPr>
        <b/>
        <sz val="8"/>
        <rFont val="Trebuchet MS"/>
        <family val="2"/>
      </rPr>
      <t>4 680 ₽</t>
    </r>
  </si>
  <si>
    <r>
      <rPr>
        <b/>
        <sz val="8"/>
        <rFont val="Trebuchet MS"/>
        <family val="2"/>
      </rPr>
      <t>Организация хранения с 25-х суток, НДС 0%</t>
    </r>
  </si>
  <si>
    <r>
      <rPr>
        <b/>
        <sz val="8"/>
        <rFont val="Trebuchet MS"/>
        <family val="2"/>
      </rPr>
      <t>5 050 ₽</t>
    </r>
  </si>
  <si>
    <r>
      <rPr>
        <b/>
        <sz val="8"/>
        <rFont val="Trebuchet MS"/>
        <family val="2"/>
      </rPr>
      <t>10 100 ₽</t>
    </r>
  </si>
  <si>
    <r>
      <rPr>
        <b/>
        <sz val="8"/>
        <rFont val="Trebuchet MS"/>
        <family val="2"/>
      </rPr>
      <t xml:space="preserve">Перемещение контейнера для целей взвешивания, за
</t>
    </r>
    <r>
      <rPr>
        <b/>
        <sz val="8"/>
        <rFont val="Trebuchet MS"/>
        <family val="2"/>
      </rPr>
      <t>контейнер, НДС 0%</t>
    </r>
  </si>
  <si>
    <r>
      <rPr>
        <b/>
        <sz val="8"/>
        <rFont val="Trebuchet MS"/>
        <family val="2"/>
      </rPr>
      <t>7 170 ₽</t>
    </r>
  </si>
  <si>
    <r>
      <rPr>
        <b/>
        <sz val="8"/>
        <rFont val="Trebuchet MS"/>
        <family val="2"/>
      </rPr>
      <t xml:space="preserve">Перемещение контейнера для целей осмотра с использованием инспекционно-досмотрового комплекса
</t>
    </r>
    <r>
      <rPr>
        <b/>
        <sz val="8"/>
        <rFont val="Trebuchet MS"/>
        <family val="2"/>
      </rPr>
      <t>(ИДК), НДС 0%</t>
    </r>
  </si>
  <si>
    <r>
      <rPr>
        <b/>
        <sz val="8"/>
        <rFont val="Trebuchet MS"/>
        <family val="2"/>
      </rPr>
      <t xml:space="preserve">Перемещение контейнера для целей проведения
</t>
    </r>
    <r>
      <rPr>
        <b/>
        <sz val="8"/>
        <rFont val="Trebuchet MS"/>
        <family val="2"/>
      </rPr>
      <t>радиационного контроля, НДС 0%</t>
    </r>
  </si>
  <si>
    <r>
      <rPr>
        <b/>
        <sz val="8"/>
        <rFont val="Trebuchet MS"/>
        <family val="2"/>
      </rPr>
      <t>4 960 ₽</t>
    </r>
  </si>
  <si>
    <r>
      <rPr>
        <b/>
        <sz val="8"/>
        <rFont val="Trebuchet MS"/>
        <family val="2"/>
      </rPr>
      <t>Приведение в транспортабельное состояние</t>
    </r>
  </si>
  <si>
    <r>
      <rPr>
        <b/>
        <sz val="8"/>
        <rFont val="Trebuchet MS"/>
        <family val="2"/>
      </rPr>
      <t>3 300 ₽</t>
    </r>
  </si>
  <si>
    <r>
      <rPr>
        <b/>
        <sz val="8"/>
        <rFont val="Trebuchet MS"/>
        <family val="2"/>
      </rPr>
      <t xml:space="preserve">Перемещение контейнера ИСО 20’/40’ для целей
</t>
    </r>
    <r>
      <rPr>
        <b/>
        <sz val="8"/>
        <rFont val="Trebuchet MS"/>
        <family val="2"/>
      </rPr>
      <t>осмотра/досмотра, НДС 0%</t>
    </r>
  </si>
  <si>
    <r>
      <rPr>
        <b/>
        <sz val="8"/>
        <rFont val="Trebuchet MS"/>
        <family val="2"/>
      </rPr>
      <t>12 760 ₽</t>
    </r>
  </si>
  <si>
    <r>
      <rPr>
        <b/>
        <sz val="8"/>
        <rFont val="Trebuchet MS"/>
        <family val="2"/>
      </rPr>
      <t>15 810 ₽</t>
    </r>
  </si>
  <si>
    <r>
      <rPr>
        <b/>
        <sz val="8"/>
        <rFont val="Trebuchet MS"/>
        <family val="2"/>
      </rPr>
      <t xml:space="preserve">Перемещение груженого контейнера ИСО 20’/40’, НДС
</t>
    </r>
    <r>
      <rPr>
        <b/>
        <sz val="8"/>
        <rFont val="Trebuchet MS"/>
        <family val="2"/>
      </rPr>
      <t>0%</t>
    </r>
  </si>
  <si>
    <r>
      <rPr>
        <b/>
        <sz val="8"/>
        <rFont val="Trebuchet MS"/>
        <family val="2"/>
      </rPr>
      <t xml:space="preserve">Организация крепления грузов в контейнерах (установка заградительного щита в дверном проеме, включая
</t>
    </r>
    <r>
      <rPr>
        <b/>
        <sz val="8"/>
        <rFont val="Trebuchet MS"/>
        <family val="2"/>
      </rPr>
      <t>перемещение груженого контейнера), НДС 0%</t>
    </r>
  </si>
  <si>
    <r>
      <rPr>
        <b/>
        <sz val="8"/>
        <rFont val="Trebuchet MS"/>
        <family val="2"/>
      </rPr>
      <t>18 000 ₽</t>
    </r>
  </si>
  <si>
    <r>
      <rPr>
        <b/>
        <sz val="8"/>
        <rFont val="Trebuchet MS"/>
        <family val="2"/>
      </rPr>
      <t xml:space="preserve">Пломбирование контейнера (включая стоимость пломбы),
</t>
    </r>
    <r>
      <rPr>
        <b/>
        <sz val="8"/>
        <rFont val="Trebuchet MS"/>
        <family val="2"/>
      </rPr>
      <t>НДС 0%</t>
    </r>
  </si>
  <si>
    <r>
      <rPr>
        <b/>
        <sz val="8"/>
        <rFont val="Trebuchet MS"/>
        <family val="2"/>
      </rPr>
      <t>600 ₽</t>
    </r>
  </si>
  <si>
    <r>
      <rPr>
        <b/>
        <sz val="8"/>
        <rFont val="Trebuchet MS"/>
        <family val="2"/>
      </rPr>
      <t xml:space="preserve">Присутствие представителя при проведении таможенного
</t>
    </r>
    <r>
      <rPr>
        <b/>
        <sz val="8"/>
        <rFont val="Trebuchet MS"/>
        <family val="2"/>
      </rPr>
      <t>досмотра до 10 артикулов, НДС 20%</t>
    </r>
  </si>
  <si>
    <r>
      <rPr>
        <b/>
        <sz val="8"/>
        <rFont val="Trebuchet MS"/>
        <family val="2"/>
      </rPr>
      <t xml:space="preserve">Присутствие представителя при проведении отбора проб
</t>
    </r>
    <r>
      <rPr>
        <b/>
        <sz val="8"/>
        <rFont val="Trebuchet MS"/>
        <family val="2"/>
      </rPr>
      <t>и образцов, проведении процедуры СКК, КФК НДС 20%</t>
    </r>
  </si>
  <si>
    <r>
      <rPr>
        <b/>
        <sz val="8"/>
        <rFont val="Trebuchet MS"/>
        <family val="2"/>
      </rPr>
      <t>12 000 ₽</t>
    </r>
  </si>
  <si>
    <r>
      <rPr>
        <b/>
        <sz val="10"/>
        <color rgb="FFA2ACB1"/>
        <rFont val="Trebuchet MS"/>
        <family val="2"/>
      </rPr>
      <t xml:space="preserve">12. </t>
    </r>
    <r>
      <rPr>
        <b/>
        <sz val="10"/>
        <rFont val="Trebuchet MS"/>
        <family val="2"/>
      </rPr>
      <t>Возможные дополнительные расходы по хранению на станции назначения:</t>
    </r>
  </si>
  <si>
    <r>
      <rPr>
        <b/>
        <sz val="11"/>
        <rFont val="Trebuchet MS"/>
        <family val="2"/>
      </rPr>
      <t>Станция</t>
    </r>
  </si>
  <si>
    <r>
      <rPr>
        <b/>
        <sz val="11"/>
        <rFont val="Trebuchet MS"/>
        <family val="2"/>
      </rPr>
      <t>Стоимость хранения</t>
    </r>
  </si>
  <si>
    <r>
      <rPr>
        <b/>
        <sz val="9"/>
        <rFont val="Trebuchet MS"/>
        <family val="2"/>
      </rPr>
      <t>Электроугли (Москва) с 3-х по 6-е сутки</t>
    </r>
  </si>
  <si>
    <r>
      <rPr>
        <b/>
        <sz val="9"/>
        <rFont val="Trebuchet MS"/>
        <family val="2"/>
      </rPr>
      <t>1 950 ₽</t>
    </r>
  </si>
  <si>
    <r>
      <rPr>
        <b/>
        <sz val="9"/>
        <rFont val="Trebuchet MS"/>
        <family val="2"/>
      </rPr>
      <t>3 900 ₽</t>
    </r>
  </si>
  <si>
    <r>
      <rPr>
        <b/>
        <sz val="9"/>
        <rFont val="Trebuchet MS"/>
        <family val="2"/>
      </rPr>
      <t>Электроугли (Москва) с 7-х по 10-е сутки</t>
    </r>
  </si>
  <si>
    <r>
      <rPr>
        <b/>
        <sz val="9"/>
        <rFont val="Trebuchet MS"/>
        <family val="2"/>
      </rPr>
      <t>4 700 ₽</t>
    </r>
  </si>
  <si>
    <r>
      <rPr>
        <b/>
        <sz val="9"/>
        <rFont val="Trebuchet MS"/>
        <family val="2"/>
      </rPr>
      <t>9 100 ₽</t>
    </r>
  </si>
  <si>
    <r>
      <rPr>
        <b/>
        <sz val="9"/>
        <rFont val="Trebuchet MS"/>
        <family val="2"/>
      </rPr>
      <t>Электроугли (Москва) с 11-х суток</t>
    </r>
  </si>
  <si>
    <r>
      <rPr>
        <b/>
        <sz val="9"/>
        <rFont val="Trebuchet MS"/>
        <family val="2"/>
      </rPr>
      <t>7 150 ₽</t>
    </r>
  </si>
  <si>
    <r>
      <rPr>
        <b/>
        <sz val="9"/>
        <rFont val="Trebuchet MS"/>
        <family val="2"/>
      </rPr>
      <t>14 300 ₽</t>
    </r>
  </si>
  <si>
    <r>
      <rPr>
        <b/>
        <sz val="9"/>
        <rFont val="Trebuchet MS"/>
        <family val="2"/>
      </rPr>
      <t>Тучково (Москва) с 5-х по 7-е сутки</t>
    </r>
  </si>
  <si>
    <r>
      <rPr>
        <b/>
        <sz val="9"/>
        <rFont val="Trebuchet MS"/>
        <family val="2"/>
      </rPr>
      <t>5 833 ₽</t>
    </r>
  </si>
  <si>
    <r>
      <rPr>
        <b/>
        <sz val="9"/>
        <rFont val="Trebuchet MS"/>
        <family val="2"/>
      </rPr>
      <t>Тучково (Москва) с 8-х суток</t>
    </r>
  </si>
  <si>
    <r>
      <rPr>
        <b/>
        <sz val="9"/>
        <rFont val="Trebuchet MS"/>
        <family val="2"/>
      </rPr>
      <t>16 800 ₽</t>
    </r>
  </si>
  <si>
    <r>
      <rPr>
        <b/>
        <sz val="9"/>
        <rFont val="Trebuchet MS"/>
        <family val="2"/>
      </rPr>
      <t>Селятино (Москва) с 3-х по 8-е сутки</t>
    </r>
  </si>
  <si>
    <r>
      <rPr>
        <b/>
        <sz val="9"/>
        <rFont val="Trebuchet MS"/>
        <family val="2"/>
      </rPr>
      <t>1 880 ₽</t>
    </r>
  </si>
  <si>
    <r>
      <rPr>
        <b/>
        <sz val="9"/>
        <rFont val="Trebuchet MS"/>
        <family val="2"/>
      </rPr>
      <t>3 380 ₽</t>
    </r>
  </si>
  <si>
    <r>
      <rPr>
        <b/>
        <sz val="9"/>
        <rFont val="Trebuchet MS"/>
        <family val="2"/>
      </rPr>
      <t>Селятино (Москва) с 9-х суток</t>
    </r>
  </si>
  <si>
    <r>
      <rPr>
        <b/>
        <sz val="9"/>
        <rFont val="Trebuchet MS"/>
        <family val="2"/>
      </rPr>
      <t>5 460 ₽</t>
    </r>
  </si>
  <si>
    <r>
      <rPr>
        <b/>
        <sz val="9"/>
        <rFont val="Trebuchet MS"/>
        <family val="2"/>
      </rPr>
      <t>10 660 ₽</t>
    </r>
  </si>
  <si>
    <r>
      <rPr>
        <b/>
        <sz val="9"/>
        <rFont val="Trebuchet MS"/>
        <family val="2"/>
      </rPr>
      <t>Купавна (Москва) с 4-х по 10-е сутки</t>
    </r>
  </si>
  <si>
    <r>
      <rPr>
        <b/>
        <sz val="9"/>
        <rFont val="Trebuchet MS"/>
        <family val="2"/>
      </rPr>
      <t>1 755 ₽</t>
    </r>
  </si>
  <si>
    <r>
      <rPr>
        <b/>
        <sz val="9"/>
        <rFont val="Trebuchet MS"/>
        <family val="2"/>
      </rPr>
      <t>Купавна (Москва) с 11-х суток</t>
    </r>
  </si>
  <si>
    <r>
      <rPr>
        <b/>
        <sz val="9"/>
        <rFont val="Trebuchet MS"/>
        <family val="2"/>
      </rPr>
      <t>2 925 ₽</t>
    </r>
  </si>
  <si>
    <r>
      <rPr>
        <b/>
        <sz val="9"/>
        <rFont val="Trebuchet MS"/>
        <family val="2"/>
      </rPr>
      <t>6 250 ₽</t>
    </r>
  </si>
  <si>
    <r>
      <rPr>
        <b/>
        <sz val="9"/>
        <rFont val="Trebuchet MS"/>
        <family val="2"/>
      </rPr>
      <t>Белый Раст (Москва) с 3-х по 7-е сутки</t>
    </r>
  </si>
  <si>
    <r>
      <rPr>
        <b/>
        <sz val="9"/>
        <rFont val="Trebuchet MS"/>
        <family val="2"/>
      </rPr>
      <t>1 500 ₽</t>
    </r>
  </si>
  <si>
    <r>
      <rPr>
        <b/>
        <sz val="9"/>
        <rFont val="Trebuchet MS"/>
        <family val="2"/>
      </rPr>
      <t>3 000 ₽</t>
    </r>
  </si>
  <si>
    <r>
      <rPr>
        <b/>
        <sz val="9"/>
        <rFont val="Trebuchet MS"/>
        <family val="2"/>
      </rPr>
      <t>Белый Раст (Москва) с 8-х суток по 10-е сутки</t>
    </r>
  </si>
  <si>
    <r>
      <rPr>
        <b/>
        <sz val="9"/>
        <rFont val="Trebuchet MS"/>
        <family val="2"/>
      </rPr>
      <t>5 000 ₽</t>
    </r>
  </si>
  <si>
    <r>
      <rPr>
        <b/>
        <sz val="9"/>
        <rFont val="Trebuchet MS"/>
        <family val="2"/>
      </rPr>
      <t>10 000 ₽</t>
    </r>
  </si>
  <si>
    <r>
      <rPr>
        <b/>
        <sz val="9"/>
        <rFont val="Trebuchet MS"/>
        <family val="2"/>
      </rPr>
      <t>Белый Раст (Москва) с 11-х суток</t>
    </r>
  </si>
  <si>
    <r>
      <rPr>
        <b/>
        <sz val="9"/>
        <rFont val="Trebuchet MS"/>
        <family val="2"/>
      </rPr>
      <t>6 500 ₽</t>
    </r>
  </si>
  <si>
    <r>
      <rPr>
        <b/>
        <sz val="9"/>
        <rFont val="Trebuchet MS"/>
        <family val="2"/>
      </rPr>
      <t>13 000 ₽</t>
    </r>
  </si>
  <si>
    <r>
      <rPr>
        <b/>
        <sz val="9"/>
        <rFont val="Trebuchet MS"/>
        <family val="2"/>
      </rPr>
      <t xml:space="preserve">Люберцы (Москва) с 4-х суток по 8-е
</t>
    </r>
    <r>
      <rPr>
        <b/>
        <sz val="9"/>
        <rFont val="Trebuchet MS"/>
        <family val="2"/>
      </rPr>
      <t>сутки</t>
    </r>
  </si>
  <si>
    <r>
      <rPr>
        <b/>
        <sz val="9"/>
        <rFont val="Trebuchet MS"/>
        <family val="2"/>
      </rPr>
      <t>1 560 ₽</t>
    </r>
  </si>
  <si>
    <r>
      <rPr>
        <b/>
        <sz val="9"/>
        <rFont val="Trebuchet MS"/>
        <family val="2"/>
      </rPr>
      <t>3 100 ₽</t>
    </r>
  </si>
  <si>
    <r>
      <rPr>
        <b/>
        <sz val="9"/>
        <rFont val="Trebuchet MS"/>
        <family val="2"/>
      </rPr>
      <t>Люберцы (Москва) с 9-х суток</t>
    </r>
  </si>
  <si>
    <r>
      <rPr>
        <b/>
        <sz val="9"/>
        <rFont val="Trebuchet MS"/>
        <family val="2"/>
      </rPr>
      <t>2 260 ₽</t>
    </r>
  </si>
  <si>
    <r>
      <rPr>
        <b/>
        <sz val="9"/>
        <rFont val="Trebuchet MS"/>
        <family val="2"/>
      </rPr>
      <t>5 200 ₽</t>
    </r>
  </si>
  <si>
    <r>
      <rPr>
        <b/>
        <sz val="9"/>
        <rFont val="Trebuchet MS"/>
        <family val="2"/>
      </rPr>
      <t>Люблино (Москва) с 6-х суток</t>
    </r>
  </si>
  <si>
    <r>
      <rPr>
        <b/>
        <sz val="9"/>
        <rFont val="Trebuchet MS"/>
        <family val="2"/>
      </rPr>
      <t>1 000 ₽</t>
    </r>
  </si>
  <si>
    <r>
      <rPr>
        <b/>
        <sz val="9"/>
        <rFont val="Trebuchet MS"/>
        <family val="2"/>
      </rPr>
      <t>1 600 ₽</t>
    </r>
  </si>
  <si>
    <r>
      <rPr>
        <b/>
        <sz val="9"/>
        <rFont val="Trebuchet MS"/>
        <family val="2"/>
      </rPr>
      <t xml:space="preserve">Иня-Восточная (Новосибирск) с 4-х по
</t>
    </r>
    <r>
      <rPr>
        <b/>
        <sz val="9"/>
        <rFont val="Trebuchet MS"/>
        <family val="2"/>
      </rPr>
      <t>14-е сутки</t>
    </r>
  </si>
  <si>
    <r>
      <rPr>
        <b/>
        <sz val="9"/>
        <rFont val="Trebuchet MS"/>
        <family val="2"/>
      </rPr>
      <t>200 ₽</t>
    </r>
  </si>
  <si>
    <r>
      <rPr>
        <b/>
        <sz val="9"/>
        <rFont val="Trebuchet MS"/>
        <family val="2"/>
      </rPr>
      <t>300 ₽</t>
    </r>
  </si>
  <si>
    <r>
      <rPr>
        <b/>
        <sz val="9"/>
        <rFont val="Trebuchet MS"/>
        <family val="2"/>
      </rPr>
      <t xml:space="preserve">Иня-Восточная (Новосибирск) с 15-х
</t>
    </r>
    <r>
      <rPr>
        <b/>
        <sz val="9"/>
        <rFont val="Trebuchet MS"/>
        <family val="2"/>
      </rPr>
      <t>суток</t>
    </r>
  </si>
  <si>
    <r>
      <rPr>
        <b/>
        <sz val="9"/>
        <rFont val="Trebuchet MS"/>
        <family val="2"/>
      </rPr>
      <t>400 ₽</t>
    </r>
  </si>
  <si>
    <r>
      <rPr>
        <b/>
        <sz val="9"/>
        <rFont val="Trebuchet MS"/>
        <family val="2"/>
      </rPr>
      <t>600 ₽</t>
    </r>
  </si>
  <si>
    <r>
      <rPr>
        <b/>
        <sz val="9"/>
        <rFont val="Trebuchet MS"/>
        <family val="2"/>
      </rPr>
      <t xml:space="preserve">Чемской (Новосибирск) с 6-х по 10-е
</t>
    </r>
    <r>
      <rPr>
        <b/>
        <sz val="9"/>
        <rFont val="Trebuchet MS"/>
        <family val="2"/>
      </rPr>
      <t>сутки</t>
    </r>
  </si>
  <si>
    <r>
      <rPr>
        <b/>
        <sz val="9"/>
        <rFont val="Trebuchet MS"/>
        <family val="2"/>
      </rPr>
      <t xml:space="preserve">Чемской (Новосибирск) с 11-х по 15-е
</t>
    </r>
    <r>
      <rPr>
        <b/>
        <sz val="9"/>
        <rFont val="Trebuchet MS"/>
        <family val="2"/>
      </rPr>
      <t>сутки</t>
    </r>
  </si>
  <si>
    <r>
      <rPr>
        <b/>
        <sz val="9"/>
        <rFont val="Trebuchet MS"/>
        <family val="2"/>
      </rPr>
      <t>Чемской (Новосибирск) с 16-х суток</t>
    </r>
  </si>
  <si>
    <r>
      <rPr>
        <b/>
        <sz val="9"/>
        <rFont val="Trebuchet MS"/>
        <family val="2"/>
      </rPr>
      <t>Екатеринбург-Товарный (Екатеринбург) с 2-х по 4-е сутки</t>
    </r>
  </si>
  <si>
    <r>
      <rPr>
        <b/>
        <sz val="9"/>
        <rFont val="Trebuchet MS"/>
        <family val="2"/>
      </rPr>
      <t>951 ₽</t>
    </r>
  </si>
  <si>
    <r>
      <rPr>
        <b/>
        <sz val="9"/>
        <rFont val="Trebuchet MS"/>
        <family val="2"/>
      </rPr>
      <t>1 428 ₽</t>
    </r>
  </si>
  <si>
    <r>
      <rPr>
        <b/>
        <sz val="9"/>
        <rFont val="Trebuchet MS"/>
        <family val="2"/>
      </rPr>
      <t>Екатеринбург-Товарный (Екатеринбург) с 5-х по 8-е сутки</t>
    </r>
  </si>
  <si>
    <r>
      <rPr>
        <b/>
        <sz val="9"/>
        <rFont val="Trebuchet MS"/>
        <family val="2"/>
      </rPr>
      <t>4 754 ₽</t>
    </r>
  </si>
  <si>
    <r>
      <rPr>
        <b/>
        <sz val="9"/>
        <rFont val="Trebuchet MS"/>
        <family val="2"/>
      </rPr>
      <t>7 138 ₽</t>
    </r>
  </si>
  <si>
    <r>
      <rPr>
        <b/>
        <sz val="9"/>
        <rFont val="Trebuchet MS"/>
        <family val="2"/>
      </rPr>
      <t>Екатеринбург-Товарный (Екатеринбург) с 9-х по 13-е сутки</t>
    </r>
  </si>
  <si>
    <r>
      <rPr>
        <b/>
        <sz val="9"/>
        <rFont val="Trebuchet MS"/>
        <family val="2"/>
      </rPr>
      <t>7 130 ₽</t>
    </r>
  </si>
  <si>
    <r>
      <rPr>
        <b/>
        <sz val="9"/>
        <rFont val="Trebuchet MS"/>
        <family val="2"/>
      </rPr>
      <t>10 701 ₽</t>
    </r>
  </si>
  <si>
    <r>
      <rPr>
        <b/>
        <sz val="9"/>
        <rFont val="Trebuchet MS"/>
        <family val="2"/>
      </rPr>
      <t>Екатеринбург-Товарный (Екатеринбург) с 14-х суток</t>
    </r>
  </si>
  <si>
    <r>
      <rPr>
        <b/>
        <sz val="9"/>
        <rFont val="Trebuchet MS"/>
        <family val="2"/>
      </rPr>
      <t>9 506 ₽</t>
    </r>
  </si>
  <si>
    <r>
      <rPr>
        <b/>
        <sz val="9"/>
        <rFont val="Trebuchet MS"/>
        <family val="2"/>
      </rPr>
      <t>14 274 ₽</t>
    </r>
  </si>
  <si>
    <r>
      <rPr>
        <b/>
        <sz val="9"/>
        <rFont val="Trebuchet MS"/>
        <family val="2"/>
      </rPr>
      <t>Звезда (Екатеринбург) с 1-х суток</t>
    </r>
  </si>
  <si>
    <r>
      <rPr>
        <b/>
        <sz val="9"/>
        <rFont val="Trebuchet MS"/>
        <family val="2"/>
      </rPr>
      <t xml:space="preserve">Заневский пост (Санкт-Петербург) с 16-
</t>
    </r>
    <r>
      <rPr>
        <b/>
        <sz val="9"/>
        <rFont val="Trebuchet MS"/>
        <family val="2"/>
      </rPr>
      <t>х суток</t>
    </r>
  </si>
  <si>
    <r>
      <rPr>
        <b/>
        <sz val="9"/>
        <rFont val="Trebuchet MS"/>
        <family val="2"/>
      </rPr>
      <t>840 ₽</t>
    </r>
  </si>
  <si>
    <r>
      <rPr>
        <b/>
        <sz val="9"/>
        <rFont val="Trebuchet MS"/>
        <family val="2"/>
      </rPr>
      <t>1 680 ₽</t>
    </r>
  </si>
  <si>
    <r>
      <rPr>
        <b/>
        <sz val="9"/>
        <rFont val="Trebuchet MS"/>
        <family val="2"/>
      </rPr>
      <t xml:space="preserve">Ростов-Товарный (Ростов-на-Дону) с 3-
</t>
    </r>
    <r>
      <rPr>
        <b/>
        <sz val="9"/>
        <rFont val="Trebuchet MS"/>
        <family val="2"/>
      </rPr>
      <t>х по 5-е сутки</t>
    </r>
  </si>
  <si>
    <r>
      <rPr>
        <b/>
        <sz val="9"/>
        <rFont val="Trebuchet MS"/>
        <family val="2"/>
      </rPr>
      <t>509 ₽</t>
    </r>
  </si>
  <si>
    <r>
      <rPr>
        <b/>
        <sz val="9"/>
        <rFont val="Trebuchet MS"/>
        <family val="2"/>
      </rPr>
      <t>923 ₽</t>
    </r>
  </si>
  <si>
    <r>
      <rPr>
        <b/>
        <sz val="9"/>
        <rFont val="Trebuchet MS"/>
        <family val="2"/>
      </rPr>
      <t xml:space="preserve">Ростов-Товарный (Ростов-на-Дону) с 6-
</t>
    </r>
    <r>
      <rPr>
        <b/>
        <sz val="9"/>
        <rFont val="Trebuchet MS"/>
        <family val="2"/>
      </rPr>
      <t>х по 9-е сутки</t>
    </r>
  </si>
  <si>
    <r>
      <rPr>
        <b/>
        <sz val="9"/>
        <rFont val="Trebuchet MS"/>
        <family val="2"/>
      </rPr>
      <t>1 263 ₽</t>
    </r>
  </si>
  <si>
    <r>
      <rPr>
        <b/>
        <sz val="9"/>
        <rFont val="Trebuchet MS"/>
        <family val="2"/>
      </rPr>
      <t>2 290 ₽</t>
    </r>
  </si>
  <si>
    <r>
      <rPr>
        <b/>
        <sz val="9"/>
        <rFont val="Trebuchet MS"/>
        <family val="2"/>
      </rPr>
      <t xml:space="preserve">Ростов-Товарный (Ростов-на-Дону) с
</t>
    </r>
    <r>
      <rPr>
        <b/>
        <sz val="9"/>
        <rFont val="Trebuchet MS"/>
        <family val="2"/>
      </rPr>
      <t>10-х суток</t>
    </r>
  </si>
  <si>
    <r>
      <rPr>
        <b/>
        <sz val="9"/>
        <rFont val="Trebuchet MS"/>
        <family val="2"/>
      </rPr>
      <t>2 520 ₽</t>
    </r>
  </si>
  <si>
    <r>
      <rPr>
        <b/>
        <sz val="9"/>
        <rFont val="Trebuchet MS"/>
        <family val="2"/>
      </rPr>
      <t>4 565 ₽</t>
    </r>
  </si>
  <si>
    <r>
      <rPr>
        <b/>
        <sz val="9"/>
        <rFont val="Trebuchet MS"/>
        <family val="2"/>
      </rPr>
      <t>Тольятти (Тольятти) с 4-х суток</t>
    </r>
  </si>
  <si>
    <r>
      <rPr>
        <b/>
        <sz val="9"/>
        <rFont val="Trebuchet MS"/>
        <family val="2"/>
      </rPr>
      <t>240 ₽</t>
    </r>
  </si>
  <si>
    <r>
      <rPr>
        <b/>
        <sz val="9"/>
        <rFont val="Trebuchet MS"/>
        <family val="2"/>
      </rPr>
      <t>480 ₽</t>
    </r>
  </si>
  <si>
    <r>
      <rPr>
        <b/>
        <sz val="9"/>
        <rFont val="Trebuchet MS"/>
        <family val="2"/>
      </rPr>
      <t>Базаиха (Красноярск) с 3-х по 14-е сутки</t>
    </r>
  </si>
  <si>
    <r>
      <rPr>
        <b/>
        <sz val="9"/>
        <rFont val="Trebuchet MS"/>
        <family val="2"/>
      </rPr>
      <t>462 ₽</t>
    </r>
  </si>
  <si>
    <r>
      <rPr>
        <b/>
        <sz val="9"/>
        <rFont val="Trebuchet MS"/>
        <family val="2"/>
      </rPr>
      <t>708 ₽</t>
    </r>
  </si>
  <si>
    <r>
      <rPr>
        <b/>
        <sz val="9"/>
        <rFont val="Trebuchet MS"/>
        <family val="2"/>
      </rPr>
      <t>Базаиха (Красноярск) с 15-х суток</t>
    </r>
  </si>
  <si>
    <r>
      <rPr>
        <b/>
        <sz val="9"/>
        <rFont val="Trebuchet MS"/>
        <family val="2"/>
      </rPr>
      <t>810 ₽</t>
    </r>
  </si>
  <si>
    <r>
      <rPr>
        <b/>
        <sz val="9"/>
        <rFont val="Trebuchet MS"/>
        <family val="2"/>
      </rPr>
      <t>1 230 ₽</t>
    </r>
  </si>
  <si>
    <r>
      <rPr>
        <b/>
        <sz val="10"/>
        <color rgb="FFA2ACB1"/>
        <rFont val="Trebuchet MS"/>
        <family val="2"/>
      </rPr>
      <t xml:space="preserve">13. </t>
    </r>
    <r>
      <rPr>
        <b/>
        <sz val="10"/>
        <rFont val="Trebuchet MS"/>
        <family val="2"/>
      </rPr>
      <t xml:space="preserve">Термины:
</t>
    </r>
    <r>
      <rPr>
        <b/>
        <sz val="9"/>
        <rFont val="Trebuchet MS"/>
        <family val="2"/>
      </rPr>
      <t>- FOR (free on rail) – условия перевозки, при которых в тариф включена стоимость перевозки до станции назначения. Получение контейнера на станции назначения, погрузо-разгрузочные и иные работы и услуги после прибытия платформы на станцию оплачиваются Клиентом самостоятельно;</t>
    </r>
  </si>
  <si>
    <r>
      <rPr>
        <b/>
        <sz val="9"/>
        <rFont val="Trebuchet MS"/>
        <family val="2"/>
      </rPr>
      <t>- FI (free in) – условия перевозки, при которых тариф не включает расходы, производимые до погрузки груза на транспортное средство;</t>
    </r>
  </si>
  <si>
    <r>
      <rPr>
        <b/>
        <sz val="9"/>
        <rFont val="Trebuchet MS"/>
        <family val="2"/>
      </rPr>
      <t xml:space="preserve">- CY (container yard) – условия перевозки, при которых в тариф включена стоимость погрузки/выгрузки контейнера на/с транспортного средства в порту отправления/назначения;
</t>
    </r>
    <r>
      <rPr>
        <b/>
        <sz val="9"/>
        <rFont val="Trebuchet MS"/>
        <family val="2"/>
      </rPr>
      <t>- FOT (free on truck) – условия перевозки, при которых в тариф включена стоимость перевозки автотранспортом до места назначения;</t>
    </r>
  </si>
  <si>
    <t>Сервис</t>
  </si>
  <si>
    <t xml:space="preserve">Базис </t>
  </si>
  <si>
    <t>тип тс/ктк</t>
  </si>
  <si>
    <t>город или провинция отправления</t>
  </si>
  <si>
    <t>граница/порт</t>
  </si>
  <si>
    <t>город или провинция доставки</t>
  </si>
  <si>
    <t>стоимость рублей</t>
  </si>
  <si>
    <t>СВХ</t>
  </si>
  <si>
    <t>стоимость СВХ</t>
  </si>
  <si>
    <t>стоимость терминальной обработки</t>
  </si>
  <si>
    <t>автовывоз</t>
  </si>
  <si>
    <t>стоимость охраны</t>
  </si>
  <si>
    <t>валидность</t>
  </si>
  <si>
    <t>транзитный срок</t>
  </si>
  <si>
    <t>даты выходов</t>
  </si>
  <si>
    <t>что включено</t>
  </si>
  <si>
    <t>стоимость USD</t>
  </si>
  <si>
    <t>ММП</t>
  </si>
  <si>
    <t>FOB</t>
  </si>
  <si>
    <t>20' &lt; 24тонн</t>
  </si>
  <si>
    <t>20' &gt; 24 тонн</t>
  </si>
  <si>
    <t>Врангель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</si>
</sst>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$"/>
    <numFmt numFmtId="165" formatCode="0\$;[Red]\-0\$"/>
    <numFmt numFmtId="166" formatCode="#,##0\ _₽"/>
  </numFmts>
  <fonts count="12" x14ac:knownFonts="1">
    <font>
      <sz val="10"/>
      <color rgb="FF000000"/>
      <name val="Times New Roman"/>
      <charset val="204"/>
    </font>
    <font>
      <b/>
      <sz val="9"/>
      <name val="Trebuchet MS"/>
      <family val="2"/>
    </font>
    <font>
      <b/>
      <sz val="14"/>
      <name val="Trebuchet MS"/>
      <family val="2"/>
    </font>
    <font>
      <b/>
      <sz val="11"/>
      <name val="Trebuchet MS"/>
      <family val="2"/>
    </font>
    <font>
      <b/>
      <sz val="8"/>
      <name val="Trebuchet MS"/>
      <family val="2"/>
    </font>
    <font>
      <b/>
      <sz val="8"/>
      <color rgb="FF000000"/>
      <name val="Trebuchet MS"/>
      <family val="2"/>
    </font>
    <font>
      <b/>
      <sz val="8"/>
      <color rgb="FFFF0000"/>
      <name val="Trebuchet MS"/>
      <family val="2"/>
    </font>
    <font>
      <b/>
      <sz val="10"/>
      <name val="Trebuchet MS"/>
      <family val="2"/>
    </font>
    <font>
      <b/>
      <sz val="10"/>
      <color rgb="FFA2ACB1"/>
      <name val="Trebuchet MS"/>
      <family val="2"/>
    </font>
    <font>
      <b/>
      <sz val="20"/>
      <color theme="1"/>
      <name val="Cambria"/>
      <family val="1"/>
    </font>
    <font>
      <b/>
      <sz val="14"/>
      <color theme="1"/>
      <name val="Cambria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AC5CC"/>
      </patternFill>
    </fill>
    <fill>
      <patternFill patternType="solid">
        <fgColor rgb="FFF1F1F1"/>
      </patternFill>
    </fill>
    <fill>
      <patternFill patternType="solid">
        <fgColor rgb="FF00ADA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EBEBE"/>
      </left>
      <right/>
      <top style="thin">
        <color rgb="FF000000"/>
      </top>
      <bottom style="thin">
        <color rgb="FFBEBEBE"/>
      </bottom>
      <diagonal/>
    </border>
    <border>
      <left/>
      <right style="thin">
        <color rgb="FFBEBEBE"/>
      </right>
      <top style="thin">
        <color rgb="FF000000"/>
      </top>
      <bottom style="thin">
        <color rgb="FFBEBEB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 indent="2"/>
    </xf>
    <xf numFmtId="0" fontId="1" fillId="0" borderId="1" xfId="0" applyFont="1" applyBorder="1" applyAlignment="1">
      <alignment horizontal="left" vertical="top" wrapText="1" indent="2"/>
    </xf>
    <xf numFmtId="0" fontId="1" fillId="3" borderId="1" xfId="0" applyFont="1" applyFill="1" applyBorder="1" applyAlignment="1">
      <alignment horizontal="left" vertical="top" wrapText="1" indent="2"/>
    </xf>
    <xf numFmtId="3" fontId="5" fillId="2" borderId="1" xfId="0" applyNumberFormat="1" applyFont="1" applyFill="1" applyBorder="1" applyAlignment="1">
      <alignment horizontal="left" vertical="top" indent="2" shrinkToFit="1"/>
    </xf>
    <xf numFmtId="3" fontId="5" fillId="2" borderId="1" xfId="0" applyNumberFormat="1" applyFont="1" applyFill="1" applyBorder="1" applyAlignment="1">
      <alignment horizontal="center" vertical="top" shrinkToFit="1"/>
    </xf>
    <xf numFmtId="3" fontId="5" fillId="2" borderId="1" xfId="0" applyNumberFormat="1" applyFont="1" applyFill="1" applyBorder="1" applyAlignment="1">
      <alignment horizontal="right" vertical="top" indent="1" shrinkToFit="1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5" fillId="3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64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right" vertical="top" indent="1" shrinkToFit="1"/>
    </xf>
    <xf numFmtId="164" fontId="5" fillId="3" borderId="1" xfId="0" applyNumberFormat="1" applyFont="1" applyFill="1" applyBorder="1" applyAlignment="1">
      <alignment horizontal="right" vertical="top" indent="1" shrinkToFit="1"/>
    </xf>
    <xf numFmtId="165" fontId="6" fillId="0" borderId="1" xfId="0" applyNumberFormat="1" applyFont="1" applyBorder="1" applyAlignment="1">
      <alignment horizontal="center" vertical="top" shrinkToFit="1"/>
    </xf>
    <xf numFmtId="165" fontId="6" fillId="0" borderId="1" xfId="0" applyNumberFormat="1" applyFont="1" applyBorder="1" applyAlignment="1">
      <alignment horizontal="right" vertical="top" indent="1" shrinkToFit="1"/>
    </xf>
    <xf numFmtId="0" fontId="4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0" fillId="3" borderId="1" xfId="0" applyFill="1" applyBorder="1" applyAlignment="1">
      <alignment horizontal="left" vertical="top" wrapText="1" indent="2"/>
    </xf>
    <xf numFmtId="0" fontId="9" fillId="4" borderId="9" xfId="0" applyFont="1" applyFill="1" applyBorder="1" applyAlignment="1">
      <alignment wrapText="1"/>
    </xf>
    <xf numFmtId="166" fontId="9" fillId="4" borderId="9" xfId="0" applyNumberFormat="1" applyFont="1" applyFill="1" applyBorder="1" applyAlignment="1">
      <alignment wrapText="1"/>
    </xf>
    <xf numFmtId="0" fontId="10" fillId="4" borderId="9" xfId="0" applyFont="1" applyFill="1" applyBorder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top" wrapText="1" indent="2"/>
    </xf>
    <xf numFmtId="0" fontId="4" fillId="2" borderId="2" xfId="0" applyFont="1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1" fillId="0" borderId="0" xfId="0" applyFont="1" applyAlignment="1">
      <alignment horizontal="right" vertical="top" wrapText="1" indent="2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center" wrapText="1" indent="2"/>
    </xf>
    <xf numFmtId="0" fontId="3" fillId="2" borderId="3" xfId="0" applyFont="1" applyFill="1" applyBorder="1" applyAlignment="1">
      <alignment horizontal="left" vertical="center" wrapText="1" indent="2"/>
    </xf>
    <xf numFmtId="0" fontId="3" fillId="2" borderId="4" xfId="0" applyFont="1" applyFill="1" applyBorder="1" applyAlignment="1">
      <alignment horizontal="left" vertical="center" wrapText="1" indent="2"/>
    </xf>
    <xf numFmtId="0" fontId="0" fillId="2" borderId="2" xfId="0" applyFill="1" applyBorder="1" applyAlignment="1">
      <alignment horizontal="left" vertical="top" wrapText="1" indent="2"/>
    </xf>
    <xf numFmtId="0" fontId="0" fillId="2" borderId="3" xfId="0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2"/>
    </xf>
    <xf numFmtId="0" fontId="3" fillId="2" borderId="5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3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 indent="3"/>
    </xf>
    <xf numFmtId="0" fontId="3" fillId="2" borderId="5" xfId="0" applyFont="1" applyFill="1" applyBorder="1" applyAlignment="1">
      <alignment horizontal="left" vertical="top" wrapText="1" indent="2"/>
    </xf>
    <xf numFmtId="0" fontId="3" fillId="2" borderId="6" xfId="0" applyFont="1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7" fillId="0" borderId="0" xfId="0" applyFont="1" applyAlignment="1">
      <alignment horizontal="left" vertical="top" wrapText="1" indent="1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3" fontId="5" fillId="2" borderId="2" xfId="0" applyNumberFormat="1" applyFont="1" applyFill="1" applyBorder="1" applyAlignment="1">
      <alignment horizontal="center" vertical="top" shrinkToFit="1"/>
    </xf>
    <xf numFmtId="3" fontId="5" fillId="2" borderId="4" xfId="0" applyNumberFormat="1" applyFont="1" applyFill="1" applyBorder="1" applyAlignment="1">
      <alignment horizontal="center" vertical="top" shrinkToFi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vertical="top" wrapText="1" indent="2"/>
    </xf>
    <xf numFmtId="0" fontId="1" fillId="3" borderId="3" xfId="0" applyFont="1" applyFill="1" applyBorder="1" applyAlignment="1">
      <alignment horizontal="left" vertical="top" wrapText="1" indent="2"/>
    </xf>
    <xf numFmtId="0" fontId="1" fillId="3" borderId="4" xfId="0" applyFont="1" applyFill="1" applyBorder="1" applyAlignment="1">
      <alignment horizontal="left" vertical="top" wrapText="1" indent="2"/>
    </xf>
    <xf numFmtId="1" fontId="5" fillId="3" borderId="2" xfId="0" applyNumberFormat="1" applyFont="1" applyFill="1" applyBorder="1" applyAlignment="1">
      <alignment horizontal="center" vertical="top" shrinkToFit="1"/>
    </xf>
    <xf numFmtId="1" fontId="5" fillId="3" borderId="3" xfId="0" applyNumberFormat="1" applyFont="1" applyFill="1" applyBorder="1" applyAlignment="1">
      <alignment horizontal="center" vertical="top" shrinkToFit="1"/>
    </xf>
    <xf numFmtId="1" fontId="5" fillId="3" borderId="4" xfId="0" applyNumberFormat="1" applyFont="1" applyFill="1" applyBorder="1" applyAlignment="1">
      <alignment horizontal="center" vertical="top" shrinkToFit="1"/>
    </xf>
    <xf numFmtId="0" fontId="1" fillId="0" borderId="2" xfId="0" applyFont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4" xfId="0" applyFont="1" applyBorder="1" applyAlignment="1">
      <alignment horizontal="left" vertical="top" wrapText="1" indent="2"/>
    </xf>
    <xf numFmtId="0" fontId="7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 indent="7"/>
    </xf>
    <xf numFmtId="0" fontId="3" fillId="2" borderId="3" xfId="0" applyFont="1" applyFill="1" applyBorder="1" applyAlignment="1">
      <alignment horizontal="right" vertical="top" wrapText="1" indent="7"/>
    </xf>
    <xf numFmtId="0" fontId="3" fillId="2" borderId="4" xfId="0" applyFont="1" applyFill="1" applyBorder="1" applyAlignment="1">
      <alignment horizontal="right" vertical="top" wrapText="1" indent="7"/>
    </xf>
    <xf numFmtId="0" fontId="4" fillId="0" borderId="2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right" vertical="top" wrapText="1" indent="8"/>
    </xf>
    <xf numFmtId="0" fontId="4" fillId="0" borderId="3" xfId="0" applyFont="1" applyBorder="1" applyAlignment="1">
      <alignment horizontal="right" vertical="top" wrapText="1" indent="8"/>
    </xf>
    <xf numFmtId="0" fontId="4" fillId="0" borderId="4" xfId="0" applyFont="1" applyBorder="1" applyAlignment="1">
      <alignment horizontal="right" vertical="top" wrapText="1" indent="8"/>
    </xf>
    <xf numFmtId="0" fontId="4" fillId="3" borderId="2" xfId="0" applyFont="1" applyFill="1" applyBorder="1" applyAlignment="1">
      <alignment horizontal="left" vertical="top" wrapText="1" indent="2"/>
    </xf>
    <xf numFmtId="0" fontId="4" fillId="3" borderId="4" xfId="0" applyFont="1" applyFill="1" applyBorder="1" applyAlignment="1">
      <alignment horizontal="left" vertical="top" wrapText="1" indent="2"/>
    </xf>
    <xf numFmtId="0" fontId="4" fillId="3" borderId="2" xfId="0" applyFont="1" applyFill="1" applyBorder="1" applyAlignment="1">
      <alignment horizontal="right" vertical="top" wrapText="1" indent="8"/>
    </xf>
    <xf numFmtId="0" fontId="4" fillId="3" borderId="3" xfId="0" applyFont="1" applyFill="1" applyBorder="1" applyAlignment="1">
      <alignment horizontal="right" vertical="top" wrapText="1" indent="8"/>
    </xf>
    <xf numFmtId="0" fontId="4" fillId="3" borderId="4" xfId="0" applyFont="1" applyFill="1" applyBorder="1" applyAlignment="1">
      <alignment horizontal="right" vertical="top" wrapText="1" indent="8"/>
    </xf>
    <xf numFmtId="0" fontId="4" fillId="3" borderId="2" xfId="0" applyFont="1" applyFill="1" applyBorder="1" applyAlignment="1">
      <alignment horizontal="right" vertical="top" wrapText="1" indent="7"/>
    </xf>
    <xf numFmtId="0" fontId="4" fillId="3" borderId="4" xfId="0" applyFont="1" applyFill="1" applyBorder="1" applyAlignment="1">
      <alignment horizontal="right" vertical="top" wrapText="1" indent="7"/>
    </xf>
    <xf numFmtId="0" fontId="4" fillId="0" borderId="3" xfId="0" applyFont="1" applyBorder="1" applyAlignment="1">
      <alignment horizontal="center" vertical="top" wrapText="1"/>
    </xf>
    <xf numFmtId="0" fontId="0" fillId="3" borderId="2" xfId="0" applyFill="1" applyBorder="1" applyAlignment="1">
      <alignment horizontal="left" vertical="top" wrapText="1" indent="2"/>
    </xf>
    <xf numFmtId="0" fontId="0" fillId="3" borderId="4" xfId="0" applyFill="1" applyBorder="1" applyAlignment="1">
      <alignment horizontal="left" vertical="top" wrapText="1" indent="2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right" vertical="top" wrapText="1" indent="7"/>
    </xf>
    <xf numFmtId="0" fontId="4" fillId="0" borderId="3" xfId="0" applyFont="1" applyBorder="1" applyAlignment="1">
      <alignment horizontal="right" vertical="top" wrapText="1" indent="7"/>
    </xf>
    <xf numFmtId="0" fontId="4" fillId="0" borderId="4" xfId="0" applyFont="1" applyBorder="1" applyAlignment="1">
      <alignment horizontal="right" vertical="top" wrapText="1" indent="7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3" fontId="5" fillId="2" borderId="3" xfId="0" applyNumberFormat="1" applyFont="1" applyFill="1" applyBorder="1" applyAlignment="1">
      <alignment horizontal="center" vertical="top" shrinkToFit="1"/>
    </xf>
    <xf numFmtId="0" fontId="1" fillId="3" borderId="2" xfId="0" applyFont="1" applyFill="1" applyBorder="1" applyAlignment="1">
      <alignment horizontal="left" vertical="top" wrapText="1" indent="10"/>
    </xf>
    <xf numFmtId="0" fontId="1" fillId="3" borderId="3" xfId="0" applyFont="1" applyFill="1" applyBorder="1" applyAlignment="1">
      <alignment horizontal="left" vertical="top" wrapText="1" indent="10"/>
    </xf>
    <xf numFmtId="0" fontId="1" fillId="3" borderId="4" xfId="0" applyFont="1" applyFill="1" applyBorder="1" applyAlignment="1">
      <alignment horizontal="left" vertical="top" wrapText="1" indent="10"/>
    </xf>
    <xf numFmtId="0" fontId="1" fillId="3" borderId="2" xfId="0" applyFont="1" applyFill="1" applyBorder="1" applyAlignment="1">
      <alignment horizontal="left" vertical="top" wrapText="1" indent="9"/>
    </xf>
    <xf numFmtId="0" fontId="1" fillId="3" borderId="4" xfId="0" applyFont="1" applyFill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top" wrapText="1" indent="10"/>
    </xf>
    <xf numFmtId="0" fontId="1" fillId="0" borderId="3" xfId="0" applyFont="1" applyBorder="1" applyAlignment="1">
      <alignment horizontal="left" vertical="top" wrapText="1" indent="10"/>
    </xf>
    <xf numFmtId="0" fontId="1" fillId="0" borderId="4" xfId="0" applyFont="1" applyBorder="1" applyAlignment="1">
      <alignment horizontal="left" vertical="top" wrapText="1" indent="10"/>
    </xf>
    <xf numFmtId="0" fontId="1" fillId="0" borderId="2" xfId="0" applyFont="1" applyBorder="1" applyAlignment="1">
      <alignment horizontal="left" vertical="top" wrapText="1" indent="9"/>
    </xf>
    <xf numFmtId="0" fontId="1" fillId="0" borderId="4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right" vertical="top" wrapText="1" indent="10"/>
    </xf>
    <xf numFmtId="0" fontId="1" fillId="0" borderId="3" xfId="0" applyFont="1" applyBorder="1" applyAlignment="1">
      <alignment horizontal="right" vertical="top" wrapText="1" indent="10"/>
    </xf>
    <xf numFmtId="0" fontId="1" fillId="0" borderId="4" xfId="0" applyFont="1" applyBorder="1" applyAlignment="1">
      <alignment horizontal="right" vertical="top" wrapText="1" indent="10"/>
    </xf>
    <xf numFmtId="0" fontId="1" fillId="0" borderId="2" xfId="0" applyFont="1" applyBorder="1" applyAlignment="1">
      <alignment horizontal="right" vertical="top" wrapText="1" indent="9"/>
    </xf>
    <xf numFmtId="0" fontId="1" fillId="0" borderId="4" xfId="0" applyFont="1" applyBorder="1" applyAlignment="1">
      <alignment horizontal="right" vertical="top" wrapText="1" indent="9"/>
    </xf>
    <xf numFmtId="0" fontId="1" fillId="3" borderId="2" xfId="0" applyFont="1" applyFill="1" applyBorder="1" applyAlignment="1">
      <alignment horizontal="right" vertical="top" wrapText="1" indent="10"/>
    </xf>
    <xf numFmtId="0" fontId="1" fillId="3" borderId="3" xfId="0" applyFont="1" applyFill="1" applyBorder="1" applyAlignment="1">
      <alignment horizontal="right" vertical="top" wrapText="1" indent="10"/>
    </xf>
    <xf numFmtId="0" fontId="1" fillId="3" borderId="4" xfId="0" applyFont="1" applyFill="1" applyBorder="1" applyAlignment="1">
      <alignment horizontal="right" vertical="top" wrapText="1" indent="10"/>
    </xf>
    <xf numFmtId="0" fontId="1" fillId="3" borderId="2" xfId="0" applyFont="1" applyFill="1" applyBorder="1" applyAlignment="1">
      <alignment horizontal="right" vertical="top" wrapText="1" indent="9"/>
    </xf>
    <xf numFmtId="0" fontId="1" fillId="3" borderId="4" xfId="0" applyFont="1" applyFill="1" applyBorder="1" applyAlignment="1">
      <alignment horizontal="right" vertical="top" wrapText="1" indent="9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3" borderId="3" xfId="0" applyFont="1" applyFill="1" applyBorder="1" applyAlignment="1">
      <alignment horizontal="right" vertical="top" wrapText="1" indent="9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C14" sqref="C14:I20"/>
    </sheetView>
  </sheetViews>
  <sheetFormatPr baseColWidth="10" defaultColWidth="9" defaultRowHeight="13" x14ac:dyDescent="0.15"/>
  <cols>
    <col min="1" max="1" width="24.3984375" customWidth="1"/>
    <col min="2" max="2" width="12.796875" customWidth="1"/>
    <col min="3" max="3" width="9.796875" customWidth="1"/>
    <col min="4" max="4" width="6.796875" bestFit="1" customWidth="1"/>
    <col min="5" max="5" width="13.19921875" customWidth="1"/>
    <col min="6" max="6" width="16" customWidth="1"/>
    <col min="7" max="7" width="7.59765625" customWidth="1"/>
    <col min="8" max="8" width="8.19921875" customWidth="1"/>
    <col min="9" max="9" width="12.796875" customWidth="1"/>
    <col min="10" max="10" width="11.3984375" customWidth="1"/>
    <col min="11" max="11" width="9.796875" customWidth="1"/>
    <col min="12" max="12" width="3.19921875" customWidth="1"/>
  </cols>
  <sheetData>
    <row r="1" spans="1:12" ht="12.75" customHeight="1" x14ac:dyDescent="0.1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4.75" customHeight="1" x14ac:dyDescent="0.1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84.5" customHeight="1" x14ac:dyDescent="0.1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12" ht="38.25" customHeight="1" x14ac:dyDescent="0.15">
      <c r="A4" s="45" t="s">
        <v>3</v>
      </c>
      <c r="B4" s="46"/>
      <c r="C4" s="47"/>
      <c r="D4" s="48" t="s">
        <v>4</v>
      </c>
      <c r="E4" s="49"/>
      <c r="F4" s="49"/>
      <c r="G4" s="50"/>
      <c r="H4" s="48" t="s">
        <v>5</v>
      </c>
      <c r="I4" s="49"/>
      <c r="J4" s="49"/>
      <c r="K4" s="50"/>
    </row>
    <row r="5" spans="1:12" ht="17.5" customHeight="1" x14ac:dyDescent="0.15">
      <c r="A5" s="33" t="s">
        <v>6</v>
      </c>
      <c r="B5" s="34"/>
      <c r="C5" s="35"/>
      <c r="D5" s="27" t="s">
        <v>7</v>
      </c>
      <c r="E5" s="28"/>
      <c r="F5" s="28"/>
      <c r="G5" s="29"/>
      <c r="H5" s="27" t="s">
        <v>8</v>
      </c>
      <c r="I5" s="28"/>
      <c r="J5" s="28"/>
      <c r="K5" s="29"/>
    </row>
    <row r="6" spans="1:12" ht="17.5" customHeight="1" x14ac:dyDescent="0.15">
      <c r="A6" s="36" t="s">
        <v>9</v>
      </c>
      <c r="B6" s="37"/>
      <c r="C6" s="38"/>
      <c r="D6" s="30" t="s">
        <v>7</v>
      </c>
      <c r="E6" s="31"/>
      <c r="F6" s="31"/>
      <c r="G6" s="32"/>
      <c r="H6" s="30" t="s">
        <v>8</v>
      </c>
      <c r="I6" s="31"/>
      <c r="J6" s="31"/>
      <c r="K6" s="32"/>
    </row>
    <row r="7" spans="1:12" ht="17.5" customHeight="1" x14ac:dyDescent="0.15">
      <c r="A7" s="33" t="s">
        <v>10</v>
      </c>
      <c r="B7" s="34"/>
      <c r="C7" s="35"/>
      <c r="D7" s="27" t="s">
        <v>7</v>
      </c>
      <c r="E7" s="28"/>
      <c r="F7" s="28"/>
      <c r="G7" s="29"/>
      <c r="H7" s="27" t="s">
        <v>8</v>
      </c>
      <c r="I7" s="28"/>
      <c r="J7" s="28"/>
      <c r="K7" s="29"/>
    </row>
    <row r="8" spans="1:12" ht="17.5" customHeight="1" x14ac:dyDescent="0.15">
      <c r="A8" s="36" t="s">
        <v>11</v>
      </c>
      <c r="B8" s="37"/>
      <c r="C8" s="38"/>
      <c r="D8" s="30" t="s">
        <v>12</v>
      </c>
      <c r="E8" s="31"/>
      <c r="F8" s="31"/>
      <c r="G8" s="32"/>
      <c r="H8" s="30" t="s">
        <v>13</v>
      </c>
      <c r="I8" s="31"/>
      <c r="J8" s="31"/>
      <c r="K8" s="32"/>
    </row>
    <row r="9" spans="1:12" ht="17.5" customHeight="1" x14ac:dyDescent="0.15">
      <c r="A9" s="33" t="s">
        <v>14</v>
      </c>
      <c r="B9" s="34"/>
      <c r="C9" s="35"/>
      <c r="D9" s="27" t="s">
        <v>12</v>
      </c>
      <c r="E9" s="28"/>
      <c r="F9" s="28"/>
      <c r="G9" s="29"/>
      <c r="H9" s="27" t="s">
        <v>13</v>
      </c>
      <c r="I9" s="28"/>
      <c r="J9" s="28"/>
      <c r="K9" s="29"/>
    </row>
    <row r="10" spans="1:12" ht="17.5" customHeight="1" x14ac:dyDescent="0.15">
      <c r="A10" s="36" t="s">
        <v>15</v>
      </c>
      <c r="B10" s="37"/>
      <c r="C10" s="38"/>
      <c r="D10" s="30" t="s">
        <v>13</v>
      </c>
      <c r="E10" s="31"/>
      <c r="F10" s="31"/>
      <c r="G10" s="32"/>
      <c r="H10" s="30" t="s">
        <v>16</v>
      </c>
      <c r="I10" s="31"/>
      <c r="J10" s="31"/>
      <c r="K10" s="32"/>
    </row>
    <row r="11" spans="1:12" ht="89.5" customHeight="1" x14ac:dyDescent="0.15">
      <c r="A11" s="44" t="s">
        <v>17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ht="56" customHeight="1" x14ac:dyDescent="0.15">
      <c r="A12" s="51" t="s">
        <v>18</v>
      </c>
      <c r="B12" s="53" t="s">
        <v>19</v>
      </c>
      <c r="C12" s="54"/>
      <c r="D12" s="54"/>
      <c r="E12" s="55"/>
      <c r="F12" s="53" t="s">
        <v>20</v>
      </c>
      <c r="G12" s="54"/>
      <c r="H12" s="54"/>
      <c r="I12" s="55"/>
      <c r="J12" s="56" t="s">
        <v>21</v>
      </c>
      <c r="K12" s="57"/>
    </row>
    <row r="13" spans="1:12" ht="22.5" customHeight="1" x14ac:dyDescent="0.15">
      <c r="A13" s="52"/>
      <c r="B13" s="39" t="s">
        <v>267</v>
      </c>
      <c r="C13" s="40" t="s">
        <v>268</v>
      </c>
      <c r="D13" s="41"/>
      <c r="E13" s="4">
        <v>40</v>
      </c>
      <c r="F13" s="1" t="s">
        <v>22</v>
      </c>
      <c r="G13" s="48" t="s">
        <v>23</v>
      </c>
      <c r="H13" s="50"/>
      <c r="I13" s="5">
        <v>40</v>
      </c>
      <c r="J13" s="5">
        <v>20</v>
      </c>
      <c r="K13" s="6">
        <v>40</v>
      </c>
    </row>
    <row r="14" spans="1:12" ht="17.5" customHeight="1" x14ac:dyDescent="0.15">
      <c r="A14" s="3" t="s">
        <v>24</v>
      </c>
      <c r="B14" s="7" t="s">
        <v>25</v>
      </c>
      <c r="C14" s="30" t="s">
        <v>26</v>
      </c>
      <c r="D14" s="32"/>
      <c r="E14" s="8" t="s">
        <v>27</v>
      </c>
      <c r="F14" s="7" t="s">
        <v>28</v>
      </c>
      <c r="G14" s="30" t="s">
        <v>29</v>
      </c>
      <c r="H14" s="32"/>
      <c r="I14" s="7" t="s">
        <v>30</v>
      </c>
      <c r="J14" s="9">
        <v>0</v>
      </c>
      <c r="K14" s="9">
        <v>0</v>
      </c>
    </row>
    <row r="15" spans="1:12" ht="17.5" customHeight="1" x14ac:dyDescent="0.15">
      <c r="A15" s="2" t="s">
        <v>31</v>
      </c>
      <c r="B15" s="10" t="s">
        <v>32</v>
      </c>
      <c r="C15" s="27" t="s">
        <v>33</v>
      </c>
      <c r="D15" s="29"/>
      <c r="E15" s="11" t="s">
        <v>34</v>
      </c>
      <c r="F15" s="10" t="s">
        <v>35</v>
      </c>
      <c r="G15" s="27" t="s">
        <v>36</v>
      </c>
      <c r="H15" s="29"/>
      <c r="I15" s="10" t="s">
        <v>37</v>
      </c>
      <c r="J15" s="12">
        <v>150</v>
      </c>
      <c r="K15" s="13">
        <v>100</v>
      </c>
    </row>
    <row r="16" spans="1:12" ht="17.25" customHeight="1" x14ac:dyDescent="0.15">
      <c r="A16" s="3" t="s">
        <v>38</v>
      </c>
      <c r="B16" s="7" t="s">
        <v>39</v>
      </c>
      <c r="C16" s="30" t="s">
        <v>40</v>
      </c>
      <c r="D16" s="32"/>
      <c r="E16" s="8" t="s">
        <v>41</v>
      </c>
      <c r="F16" s="7" t="s">
        <v>42</v>
      </c>
      <c r="G16" s="30" t="s">
        <v>43</v>
      </c>
      <c r="H16" s="32"/>
      <c r="I16" s="7" t="s">
        <v>44</v>
      </c>
      <c r="J16" s="9">
        <v>150</v>
      </c>
      <c r="K16" s="14">
        <v>100</v>
      </c>
    </row>
    <row r="17" spans="1:12" ht="13" customHeight="1" x14ac:dyDescent="0.15">
      <c r="A17" s="2" t="s">
        <v>45</v>
      </c>
      <c r="B17" s="10" t="s">
        <v>46</v>
      </c>
      <c r="C17" s="27" t="s">
        <v>47</v>
      </c>
      <c r="D17" s="29"/>
      <c r="E17" s="11" t="s">
        <v>48</v>
      </c>
      <c r="F17" s="10" t="s">
        <v>49</v>
      </c>
      <c r="G17" s="27" t="s">
        <v>50</v>
      </c>
      <c r="H17" s="29"/>
      <c r="I17" s="10" t="s">
        <v>51</v>
      </c>
      <c r="J17" s="15">
        <v>-200</v>
      </c>
      <c r="K17" s="13">
        <v>500</v>
      </c>
    </row>
    <row r="18" spans="1:12" ht="13" customHeight="1" x14ac:dyDescent="0.15">
      <c r="A18" s="3" t="s">
        <v>52</v>
      </c>
      <c r="B18" s="7" t="s">
        <v>53</v>
      </c>
      <c r="C18" s="30" t="s">
        <v>54</v>
      </c>
      <c r="D18" s="32"/>
      <c r="E18" s="8" t="s">
        <v>55</v>
      </c>
      <c r="F18" s="7" t="s">
        <v>56</v>
      </c>
      <c r="G18" s="30" t="s">
        <v>57</v>
      </c>
      <c r="H18" s="32"/>
      <c r="I18" s="7" t="s">
        <v>58</v>
      </c>
      <c r="J18" s="9">
        <v>350</v>
      </c>
      <c r="K18" s="14">
        <v>300</v>
      </c>
    </row>
    <row r="19" spans="1:12" ht="13" customHeight="1" x14ac:dyDescent="0.15">
      <c r="A19" s="2" t="s">
        <v>59</v>
      </c>
      <c r="B19" s="10" t="s">
        <v>60</v>
      </c>
      <c r="C19" s="27" t="s">
        <v>46</v>
      </c>
      <c r="D19" s="29"/>
      <c r="E19" s="11" t="s">
        <v>61</v>
      </c>
      <c r="F19" s="10" t="s">
        <v>62</v>
      </c>
      <c r="G19" s="27" t="s">
        <v>63</v>
      </c>
      <c r="H19" s="29"/>
      <c r="I19" s="10" t="s">
        <v>64</v>
      </c>
      <c r="J19" s="12">
        <v>150</v>
      </c>
      <c r="K19" s="16">
        <v>-250</v>
      </c>
    </row>
    <row r="20" spans="1:12" ht="13" customHeight="1" x14ac:dyDescent="0.15">
      <c r="A20" s="3" t="s">
        <v>65</v>
      </c>
      <c r="B20" s="7" t="s">
        <v>66</v>
      </c>
      <c r="C20" s="30" t="s">
        <v>67</v>
      </c>
      <c r="D20" s="32"/>
      <c r="E20" s="8" t="s">
        <v>68</v>
      </c>
      <c r="F20" s="7" t="s">
        <v>69</v>
      </c>
      <c r="G20" s="30" t="s">
        <v>70</v>
      </c>
      <c r="H20" s="32"/>
      <c r="I20" s="7" t="s">
        <v>71</v>
      </c>
      <c r="J20" s="9">
        <v>150</v>
      </c>
      <c r="K20" s="9">
        <v>0</v>
      </c>
    </row>
    <row r="21" spans="1:12" ht="53.75" customHeight="1" x14ac:dyDescent="0.15">
      <c r="A21" s="44" t="s">
        <v>72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ht="117.75" customHeight="1" x14ac:dyDescent="0.15">
      <c r="A22" s="44" t="s">
        <v>73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</sheetData>
  <mergeCells count="14">
    <mergeCell ref="A21:L21"/>
    <mergeCell ref="A22:L22"/>
    <mergeCell ref="A11:L11"/>
    <mergeCell ref="A12:A13"/>
    <mergeCell ref="B12:E12"/>
    <mergeCell ref="F12:I12"/>
    <mergeCell ref="J12:K12"/>
    <mergeCell ref="G13:H13"/>
    <mergeCell ref="A1:L1"/>
    <mergeCell ref="A2:L2"/>
    <mergeCell ref="A3:L3"/>
    <mergeCell ref="A4:C4"/>
    <mergeCell ref="D4:G4"/>
    <mergeCell ref="H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A5" sqref="A5:D5"/>
    </sheetView>
  </sheetViews>
  <sheetFormatPr baseColWidth="10" defaultColWidth="9" defaultRowHeight="13" x14ac:dyDescent="0.15"/>
  <cols>
    <col min="1" max="1" width="42.796875" customWidth="1"/>
    <col min="2" max="2" width="44.3984375" customWidth="1"/>
    <col min="3" max="3" width="43.19921875" customWidth="1"/>
    <col min="4" max="4" width="3.19921875" customWidth="1"/>
  </cols>
  <sheetData>
    <row r="1" spans="1:4" ht="12.75" customHeight="1" x14ac:dyDescent="0.15">
      <c r="A1" s="62" t="s">
        <v>74</v>
      </c>
      <c r="B1" s="62"/>
      <c r="C1" s="62"/>
      <c r="D1" s="62"/>
    </row>
    <row r="2" spans="1:4" ht="14.25" customHeight="1" x14ac:dyDescent="0.15">
      <c r="A2" s="63" t="s">
        <v>75</v>
      </c>
      <c r="B2" s="63"/>
      <c r="C2" s="63"/>
      <c r="D2" s="63"/>
    </row>
    <row r="3" spans="1:4" ht="62.75" customHeight="1" x14ac:dyDescent="0.15">
      <c r="A3" s="44" t="s">
        <v>76</v>
      </c>
      <c r="B3" s="44"/>
      <c r="C3" s="44"/>
      <c r="D3" s="44"/>
    </row>
    <row r="4" spans="1:4" ht="109" customHeight="1" x14ac:dyDescent="0.15">
      <c r="A4" s="44" t="s">
        <v>77</v>
      </c>
      <c r="B4" s="44"/>
      <c r="C4" s="44"/>
      <c r="D4" s="44"/>
    </row>
    <row r="5" spans="1:4" ht="58" customHeight="1" x14ac:dyDescent="0.15">
      <c r="A5" s="63" t="s">
        <v>78</v>
      </c>
      <c r="B5" s="63"/>
      <c r="C5" s="63"/>
      <c r="D5" s="63"/>
    </row>
    <row r="6" spans="1:4" ht="15.75" customHeight="1" x14ac:dyDescent="0.15">
      <c r="A6" s="58" t="s">
        <v>18</v>
      </c>
      <c r="B6" s="60" t="s">
        <v>19</v>
      </c>
      <c r="C6" s="61"/>
    </row>
    <row r="7" spans="1:4" ht="14.25" customHeight="1" x14ac:dyDescent="0.15">
      <c r="A7" s="59"/>
      <c r="B7" s="17" t="s">
        <v>79</v>
      </c>
      <c r="C7" s="17" t="s">
        <v>80</v>
      </c>
    </row>
    <row r="8" spans="1:4" ht="17.5" customHeight="1" x14ac:dyDescent="0.15">
      <c r="A8" s="3" t="s">
        <v>24</v>
      </c>
      <c r="B8" s="7" t="s">
        <v>81</v>
      </c>
      <c r="C8" s="7" t="s">
        <v>82</v>
      </c>
    </row>
    <row r="9" spans="1:4" ht="17.25" customHeight="1" x14ac:dyDescent="0.15">
      <c r="A9" s="2" t="s">
        <v>38</v>
      </c>
      <c r="B9" s="10" t="s">
        <v>83</v>
      </c>
      <c r="C9" s="10" t="s">
        <v>84</v>
      </c>
    </row>
    <row r="10" spans="1:4" ht="17.5" customHeight="1" x14ac:dyDescent="0.15">
      <c r="A10" s="3" t="s">
        <v>31</v>
      </c>
      <c r="B10" s="7" t="s">
        <v>85</v>
      </c>
      <c r="C10" s="7" t="s">
        <v>86</v>
      </c>
    </row>
    <row r="11" spans="1:4" ht="17.5" customHeight="1" x14ac:dyDescent="0.15">
      <c r="A11" s="2" t="s">
        <v>45</v>
      </c>
      <c r="B11" s="10" t="s">
        <v>87</v>
      </c>
      <c r="C11" s="10" t="s">
        <v>87</v>
      </c>
    </row>
    <row r="12" spans="1:4" ht="17.5" customHeight="1" x14ac:dyDescent="0.15">
      <c r="A12" s="3" t="s">
        <v>88</v>
      </c>
      <c r="B12" s="7" t="s">
        <v>89</v>
      </c>
      <c r="C12" s="7" t="s">
        <v>87</v>
      </c>
    </row>
    <row r="13" spans="1:4" ht="17.5" customHeight="1" x14ac:dyDescent="0.15">
      <c r="A13" s="2" t="s">
        <v>52</v>
      </c>
      <c r="B13" s="10" t="s">
        <v>89</v>
      </c>
      <c r="C13" s="10" t="s">
        <v>86</v>
      </c>
    </row>
    <row r="14" spans="1:4" ht="17.5" customHeight="1" x14ac:dyDescent="0.15">
      <c r="A14" s="3" t="s">
        <v>59</v>
      </c>
      <c r="B14" s="7" t="s">
        <v>90</v>
      </c>
      <c r="C14" s="7" t="s">
        <v>84</v>
      </c>
    </row>
    <row r="15" spans="1:4" ht="17.5" customHeight="1" x14ac:dyDescent="0.15">
      <c r="A15" s="2" t="s">
        <v>91</v>
      </c>
      <c r="B15" s="10" t="s">
        <v>92</v>
      </c>
      <c r="C15" s="10" t="s">
        <v>93</v>
      </c>
    </row>
    <row r="16" spans="1:4" ht="17.5" customHeight="1" x14ac:dyDescent="0.15">
      <c r="A16" s="3" t="s">
        <v>94</v>
      </c>
      <c r="B16" s="7" t="s">
        <v>95</v>
      </c>
      <c r="C16" s="7" t="s">
        <v>96</v>
      </c>
    </row>
    <row r="17" spans="1:4" ht="17.5" customHeight="1" x14ac:dyDescent="0.15">
      <c r="A17" s="2" t="s">
        <v>97</v>
      </c>
      <c r="B17" s="10" t="s">
        <v>98</v>
      </c>
      <c r="C17" s="10" t="s">
        <v>98</v>
      </c>
    </row>
    <row r="18" spans="1:4" ht="17.5" customHeight="1" x14ac:dyDescent="0.15">
      <c r="A18" s="3" t="s">
        <v>99</v>
      </c>
      <c r="B18" s="7" t="s">
        <v>98</v>
      </c>
      <c r="C18" s="7" t="s">
        <v>98</v>
      </c>
    </row>
    <row r="19" spans="1:4" ht="17.5" customHeight="1" x14ac:dyDescent="0.15">
      <c r="A19" s="2" t="s">
        <v>100</v>
      </c>
      <c r="B19" s="10" t="s">
        <v>101</v>
      </c>
      <c r="C19" s="10" t="s">
        <v>102</v>
      </c>
    </row>
    <row r="20" spans="1:4" ht="17.5" customHeight="1" x14ac:dyDescent="0.15">
      <c r="A20" s="3" t="s">
        <v>103</v>
      </c>
      <c r="B20" s="7" t="s">
        <v>104</v>
      </c>
      <c r="C20" s="7" t="s">
        <v>105</v>
      </c>
    </row>
    <row r="21" spans="1:4" ht="47" customHeight="1" x14ac:dyDescent="0.15">
      <c r="A21" s="44" t="s">
        <v>106</v>
      </c>
      <c r="B21" s="44"/>
      <c r="C21" s="44"/>
      <c r="D21" s="44"/>
    </row>
    <row r="22" spans="1:4" ht="212.25" customHeight="1" x14ac:dyDescent="0.15">
      <c r="A22" s="44" t="s">
        <v>107</v>
      </c>
      <c r="B22" s="44"/>
      <c r="C22" s="44"/>
      <c r="D22" s="44"/>
    </row>
  </sheetData>
  <mergeCells count="9">
    <mergeCell ref="A6:A7"/>
    <mergeCell ref="B6:C6"/>
    <mergeCell ref="A21:D21"/>
    <mergeCell ref="A22:D22"/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C34" sqref="C34"/>
    </sheetView>
  </sheetViews>
  <sheetFormatPr baseColWidth="10" defaultColWidth="9" defaultRowHeight="13" x14ac:dyDescent="0.15"/>
  <cols>
    <col min="1" max="1" width="42.796875" customWidth="1"/>
    <col min="2" max="2" width="36.796875" customWidth="1"/>
    <col min="3" max="3" width="7.3984375" customWidth="1"/>
    <col min="4" max="4" width="43.19921875" customWidth="1"/>
    <col min="5" max="5" width="3.19921875" customWidth="1"/>
  </cols>
  <sheetData>
    <row r="1" spans="1:5" ht="14.25" customHeight="1" x14ac:dyDescent="0.15">
      <c r="A1" s="63" t="s">
        <v>108</v>
      </c>
      <c r="B1" s="63"/>
      <c r="C1" s="63"/>
      <c r="D1" s="63"/>
      <c r="E1" s="63"/>
    </row>
    <row r="2" spans="1:5" ht="37.75" customHeight="1" x14ac:dyDescent="0.15">
      <c r="A2" s="53" t="s">
        <v>109</v>
      </c>
      <c r="B2" s="55"/>
      <c r="C2" s="60" t="s">
        <v>110</v>
      </c>
      <c r="D2" s="61"/>
    </row>
    <row r="3" spans="1:5" ht="17.5" customHeight="1" x14ac:dyDescent="0.15">
      <c r="A3" s="64" t="s">
        <v>111</v>
      </c>
      <c r="B3" s="65"/>
      <c r="C3" s="66" t="s">
        <v>112</v>
      </c>
      <c r="D3" s="67"/>
    </row>
    <row r="4" spans="1:5" ht="14.25" customHeight="1" x14ac:dyDescent="0.15">
      <c r="A4" s="63" t="s">
        <v>113</v>
      </c>
      <c r="B4" s="63"/>
      <c r="C4" s="63"/>
      <c r="D4" s="63"/>
      <c r="E4" s="63"/>
    </row>
    <row r="5" spans="1:5" ht="15.75" customHeight="1" x14ac:dyDescent="0.15">
      <c r="A5" s="58" t="s">
        <v>18</v>
      </c>
      <c r="B5" s="60" t="s">
        <v>110</v>
      </c>
      <c r="C5" s="68"/>
      <c r="D5" s="61"/>
    </row>
    <row r="6" spans="1:5" ht="14.25" customHeight="1" x14ac:dyDescent="0.15">
      <c r="A6" s="59"/>
      <c r="B6" s="69" t="s">
        <v>114</v>
      </c>
      <c r="C6" s="70"/>
      <c r="D6" s="17" t="s">
        <v>115</v>
      </c>
    </row>
    <row r="7" spans="1:5" ht="17.5" customHeight="1" x14ac:dyDescent="0.15">
      <c r="A7" s="3" t="s">
        <v>24</v>
      </c>
      <c r="B7" s="71" t="s">
        <v>116</v>
      </c>
      <c r="C7" s="72"/>
      <c r="D7" s="7" t="s">
        <v>116</v>
      </c>
    </row>
    <row r="8" spans="1:5" ht="17.5" customHeight="1" x14ac:dyDescent="0.15">
      <c r="A8" s="2" t="s">
        <v>38</v>
      </c>
      <c r="B8" s="73" t="s">
        <v>117</v>
      </c>
      <c r="C8" s="74"/>
      <c r="D8" s="10" t="s">
        <v>117</v>
      </c>
    </row>
    <row r="9" spans="1:5" ht="17.5" customHeight="1" x14ac:dyDescent="0.15">
      <c r="A9" s="3" t="s">
        <v>31</v>
      </c>
      <c r="B9" s="71" t="s">
        <v>118</v>
      </c>
      <c r="C9" s="72"/>
      <c r="D9" s="7" t="s">
        <v>118</v>
      </c>
    </row>
    <row r="10" spans="1:5" ht="17.25" customHeight="1" x14ac:dyDescent="0.15">
      <c r="A10" s="2" t="s">
        <v>45</v>
      </c>
      <c r="B10" s="73" t="s">
        <v>119</v>
      </c>
      <c r="C10" s="74"/>
      <c r="D10" s="10" t="s">
        <v>119</v>
      </c>
    </row>
    <row r="11" spans="1:5" ht="17.5" customHeight="1" x14ac:dyDescent="0.15">
      <c r="A11" s="3" t="s">
        <v>88</v>
      </c>
      <c r="B11" s="71" t="s">
        <v>117</v>
      </c>
      <c r="C11" s="72"/>
      <c r="D11" s="7" t="s">
        <v>117</v>
      </c>
    </row>
    <row r="12" spans="1:5" ht="17.5" customHeight="1" x14ac:dyDescent="0.15">
      <c r="A12" s="2" t="s">
        <v>52</v>
      </c>
      <c r="B12" s="73" t="s">
        <v>117</v>
      </c>
      <c r="C12" s="74"/>
      <c r="D12" s="10" t="s">
        <v>117</v>
      </c>
    </row>
    <row r="13" spans="1:5" ht="17.5" customHeight="1" x14ac:dyDescent="0.15">
      <c r="A13" s="3" t="s">
        <v>59</v>
      </c>
      <c r="B13" s="71" t="s">
        <v>117</v>
      </c>
      <c r="C13" s="72"/>
      <c r="D13" s="7" t="s">
        <v>117</v>
      </c>
    </row>
    <row r="14" spans="1:5" ht="14.25" customHeight="1" x14ac:dyDescent="0.15">
      <c r="A14" s="63" t="s">
        <v>120</v>
      </c>
      <c r="B14" s="63"/>
      <c r="C14" s="63"/>
      <c r="D14" s="63"/>
      <c r="E14" s="63"/>
    </row>
    <row r="15" spans="1:5" ht="15.75" customHeight="1" x14ac:dyDescent="0.15">
      <c r="A15" s="58" t="s">
        <v>18</v>
      </c>
      <c r="B15" s="60" t="s">
        <v>110</v>
      </c>
      <c r="C15" s="68"/>
      <c r="D15" s="61"/>
    </row>
    <row r="16" spans="1:5" ht="14.25" customHeight="1" x14ac:dyDescent="0.15">
      <c r="A16" s="59"/>
      <c r="B16" s="75">
        <v>20</v>
      </c>
      <c r="C16" s="76"/>
      <c r="D16" s="5">
        <v>40</v>
      </c>
    </row>
    <row r="17" spans="1:5" ht="17.5" customHeight="1" x14ac:dyDescent="0.15">
      <c r="A17" s="3" t="s">
        <v>24</v>
      </c>
      <c r="B17" s="71" t="s">
        <v>121</v>
      </c>
      <c r="C17" s="72"/>
      <c r="D17" s="7" t="s">
        <v>121</v>
      </c>
    </row>
    <row r="18" spans="1:5" ht="17.5" customHeight="1" x14ac:dyDescent="0.15">
      <c r="A18" s="2" t="s">
        <v>38</v>
      </c>
      <c r="B18" s="73" t="s">
        <v>122</v>
      </c>
      <c r="C18" s="74"/>
      <c r="D18" s="10" t="s">
        <v>122</v>
      </c>
    </row>
    <row r="19" spans="1:5" ht="17.5" customHeight="1" x14ac:dyDescent="0.15">
      <c r="A19" s="3" t="s">
        <v>31</v>
      </c>
      <c r="B19" s="71" t="s">
        <v>122</v>
      </c>
      <c r="C19" s="72"/>
      <c r="D19" s="7" t="s">
        <v>122</v>
      </c>
    </row>
    <row r="20" spans="1:5" ht="17.5" customHeight="1" x14ac:dyDescent="0.15">
      <c r="A20" s="2" t="s">
        <v>45</v>
      </c>
      <c r="B20" s="73" t="s">
        <v>122</v>
      </c>
      <c r="C20" s="74"/>
      <c r="D20" s="10" t="s">
        <v>122</v>
      </c>
    </row>
    <row r="21" spans="1:5" ht="17.5" customHeight="1" x14ac:dyDescent="0.15">
      <c r="A21" s="3" t="s">
        <v>88</v>
      </c>
      <c r="B21" s="71" t="s">
        <v>123</v>
      </c>
      <c r="C21" s="72"/>
      <c r="D21" s="7" t="s">
        <v>123</v>
      </c>
    </row>
    <row r="22" spans="1:5" ht="17.5" customHeight="1" x14ac:dyDescent="0.15">
      <c r="A22" s="2" t="s">
        <v>52</v>
      </c>
      <c r="B22" s="73" t="s">
        <v>121</v>
      </c>
      <c r="C22" s="74"/>
      <c r="D22" s="10" t="s">
        <v>121</v>
      </c>
    </row>
    <row r="23" spans="1:5" ht="17.5" customHeight="1" x14ac:dyDescent="0.15">
      <c r="A23" s="3" t="s">
        <v>59</v>
      </c>
      <c r="B23" s="71" t="s">
        <v>124</v>
      </c>
      <c r="C23" s="72"/>
      <c r="D23" s="7" t="s">
        <v>121</v>
      </c>
    </row>
    <row r="24" spans="1:5" ht="29.25" customHeight="1" x14ac:dyDescent="0.15">
      <c r="A24" s="44" t="s">
        <v>125</v>
      </c>
      <c r="B24" s="44"/>
      <c r="C24" s="44"/>
      <c r="D24" s="44"/>
      <c r="E24" s="44"/>
    </row>
  </sheetData>
  <mergeCells count="28">
    <mergeCell ref="B22:C22"/>
    <mergeCell ref="B23:C23"/>
    <mergeCell ref="A24:E24"/>
    <mergeCell ref="B17:C17"/>
    <mergeCell ref="B18:C18"/>
    <mergeCell ref="B19:C19"/>
    <mergeCell ref="B20:C20"/>
    <mergeCell ref="B21:C21"/>
    <mergeCell ref="B13:C13"/>
    <mergeCell ref="A14:E14"/>
    <mergeCell ref="A15:A16"/>
    <mergeCell ref="B15:D15"/>
    <mergeCell ref="B16:C16"/>
    <mergeCell ref="B8:C8"/>
    <mergeCell ref="B9:C9"/>
    <mergeCell ref="B10:C10"/>
    <mergeCell ref="B11:C11"/>
    <mergeCell ref="B12:C12"/>
    <mergeCell ref="A4:E4"/>
    <mergeCell ref="A5:A6"/>
    <mergeCell ref="B5:D5"/>
    <mergeCell ref="B6:C6"/>
    <mergeCell ref="B7:C7"/>
    <mergeCell ref="A1:E1"/>
    <mergeCell ref="A2:B2"/>
    <mergeCell ref="C2:D2"/>
    <mergeCell ref="A3:B3"/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B27" sqref="B27:D27"/>
    </sheetView>
  </sheetViews>
  <sheetFormatPr baseColWidth="10" defaultColWidth="9" defaultRowHeight="13" x14ac:dyDescent="0.15"/>
  <cols>
    <col min="1" max="1" width="44.19921875" customWidth="1"/>
    <col min="2" max="2" width="13.19921875" customWidth="1"/>
    <col min="3" max="3" width="5.19921875" customWidth="1"/>
    <col min="4" max="4" width="24.3984375" customWidth="1"/>
    <col min="5" max="5" width="6.59765625" customWidth="1"/>
    <col min="6" max="6" width="34.3984375" customWidth="1"/>
    <col min="7" max="7" width="2" customWidth="1"/>
    <col min="8" max="8" width="3.19921875" customWidth="1"/>
  </cols>
  <sheetData>
    <row r="1" spans="1:8" ht="38.25" customHeight="1" x14ac:dyDescent="0.15">
      <c r="A1" s="45" t="s">
        <v>18</v>
      </c>
      <c r="B1" s="46"/>
      <c r="C1" s="47"/>
      <c r="D1" s="77" t="s">
        <v>126</v>
      </c>
      <c r="E1" s="78"/>
      <c r="F1" s="78"/>
      <c r="G1" s="79"/>
    </row>
    <row r="2" spans="1:8" ht="25.5" customHeight="1" x14ac:dyDescent="0.15">
      <c r="A2" s="80" t="s">
        <v>127</v>
      </c>
      <c r="B2" s="81"/>
      <c r="C2" s="82"/>
      <c r="D2" s="83">
        <v>40</v>
      </c>
      <c r="E2" s="84"/>
      <c r="F2" s="84"/>
      <c r="G2" s="85"/>
    </row>
    <row r="3" spans="1:8" ht="17.5" customHeight="1" x14ac:dyDescent="0.15">
      <c r="A3" s="86" t="s">
        <v>31</v>
      </c>
      <c r="B3" s="87"/>
      <c r="C3" s="88"/>
      <c r="D3" s="89">
        <v>35</v>
      </c>
      <c r="E3" s="90"/>
      <c r="F3" s="90"/>
      <c r="G3" s="91"/>
    </row>
    <row r="4" spans="1:8" ht="17.5" customHeight="1" x14ac:dyDescent="0.15">
      <c r="A4" s="92" t="s">
        <v>128</v>
      </c>
      <c r="B4" s="93"/>
      <c r="C4" s="94"/>
      <c r="D4" s="83">
        <v>30</v>
      </c>
      <c r="E4" s="84"/>
      <c r="F4" s="84"/>
      <c r="G4" s="85"/>
    </row>
    <row r="5" spans="1:8" ht="25.5" customHeight="1" x14ac:dyDescent="0.15">
      <c r="A5" s="44" t="s">
        <v>129</v>
      </c>
      <c r="B5" s="44"/>
      <c r="C5" s="44"/>
      <c r="D5" s="44"/>
      <c r="E5" s="44"/>
      <c r="F5" s="44"/>
      <c r="G5" s="44"/>
      <c r="H5" s="44"/>
    </row>
    <row r="6" spans="1:8" ht="24.75" customHeight="1" x14ac:dyDescent="0.15">
      <c r="A6" s="95" t="s">
        <v>130</v>
      </c>
      <c r="B6" s="95"/>
      <c r="C6" s="95"/>
      <c r="D6" s="95"/>
      <c r="E6" s="95"/>
      <c r="F6" s="95"/>
      <c r="G6" s="95"/>
      <c r="H6" s="95"/>
    </row>
    <row r="7" spans="1:8" ht="37.75" customHeight="1" x14ac:dyDescent="0.15">
      <c r="A7" s="53" t="s">
        <v>109</v>
      </c>
      <c r="B7" s="55"/>
      <c r="C7" s="96" t="s">
        <v>131</v>
      </c>
      <c r="D7" s="97"/>
      <c r="E7" s="98"/>
      <c r="F7" s="96" t="s">
        <v>132</v>
      </c>
      <c r="G7" s="98"/>
    </row>
    <row r="8" spans="1:8" ht="17.25" customHeight="1" x14ac:dyDescent="0.15">
      <c r="A8" s="99" t="s">
        <v>133</v>
      </c>
      <c r="B8" s="100"/>
      <c r="C8" s="101" t="s">
        <v>134</v>
      </c>
      <c r="D8" s="102"/>
      <c r="E8" s="103"/>
      <c r="F8" s="101" t="s">
        <v>135</v>
      </c>
      <c r="G8" s="103"/>
    </row>
    <row r="9" spans="1:8" ht="17.25" customHeight="1" x14ac:dyDescent="0.15">
      <c r="A9" s="104" t="s">
        <v>136</v>
      </c>
      <c r="B9" s="105"/>
      <c r="C9" s="106" t="s">
        <v>137</v>
      </c>
      <c r="D9" s="107"/>
      <c r="E9" s="108"/>
      <c r="F9" s="109" t="s">
        <v>138</v>
      </c>
      <c r="G9" s="110"/>
    </row>
    <row r="10" spans="1:8" ht="22.5" customHeight="1" x14ac:dyDescent="0.15">
      <c r="A10" s="80" t="s">
        <v>139</v>
      </c>
      <c r="B10" s="82"/>
      <c r="C10" s="73" t="s">
        <v>140</v>
      </c>
      <c r="D10" s="111"/>
      <c r="E10" s="111"/>
      <c r="F10" s="111"/>
      <c r="G10" s="74"/>
    </row>
    <row r="11" spans="1:8" ht="30.75" customHeight="1" x14ac:dyDescent="0.15">
      <c r="A11" s="112" t="s">
        <v>141</v>
      </c>
      <c r="B11" s="113"/>
      <c r="C11" s="114" t="s">
        <v>140</v>
      </c>
      <c r="D11" s="115"/>
      <c r="E11" s="115"/>
      <c r="F11" s="115"/>
      <c r="G11" s="116"/>
    </row>
    <row r="12" spans="1:8" ht="22.5" customHeight="1" x14ac:dyDescent="0.15">
      <c r="A12" s="80" t="s">
        <v>142</v>
      </c>
      <c r="B12" s="82"/>
      <c r="C12" s="73" t="s">
        <v>143</v>
      </c>
      <c r="D12" s="111"/>
      <c r="E12" s="111"/>
      <c r="F12" s="111"/>
      <c r="G12" s="74"/>
    </row>
    <row r="13" spans="1:8" ht="17.25" customHeight="1" x14ac:dyDescent="0.15">
      <c r="A13" s="104" t="s">
        <v>144</v>
      </c>
      <c r="B13" s="105"/>
      <c r="C13" s="71" t="s">
        <v>145</v>
      </c>
      <c r="D13" s="117"/>
      <c r="E13" s="117"/>
      <c r="F13" s="117"/>
      <c r="G13" s="72"/>
    </row>
    <row r="14" spans="1:8" ht="22.5" customHeight="1" x14ac:dyDescent="0.15">
      <c r="A14" s="80" t="s">
        <v>146</v>
      </c>
      <c r="B14" s="82"/>
      <c r="C14" s="118" t="s">
        <v>147</v>
      </c>
      <c r="D14" s="119"/>
      <c r="E14" s="120"/>
      <c r="F14" s="118" t="s">
        <v>148</v>
      </c>
      <c r="G14" s="120"/>
    </row>
    <row r="15" spans="1:8" ht="22.5" customHeight="1" x14ac:dyDescent="0.15">
      <c r="A15" s="112" t="s">
        <v>149</v>
      </c>
      <c r="B15" s="113"/>
      <c r="C15" s="71" t="s">
        <v>143</v>
      </c>
      <c r="D15" s="117"/>
      <c r="E15" s="117"/>
      <c r="F15" s="117"/>
      <c r="G15" s="72"/>
    </row>
    <row r="16" spans="1:8" ht="30.75" customHeight="1" x14ac:dyDescent="0.15">
      <c r="A16" s="80" t="s">
        <v>150</v>
      </c>
      <c r="B16" s="82"/>
      <c r="C16" s="121" t="s">
        <v>151</v>
      </c>
      <c r="D16" s="122"/>
      <c r="E16" s="122"/>
      <c r="F16" s="122"/>
      <c r="G16" s="123"/>
    </row>
    <row r="17" spans="1:8" ht="22.5" customHeight="1" x14ac:dyDescent="0.15">
      <c r="A17" s="112" t="s">
        <v>152</v>
      </c>
      <c r="B17" s="113"/>
      <c r="C17" s="71" t="s">
        <v>153</v>
      </c>
      <c r="D17" s="117"/>
      <c r="E17" s="117"/>
      <c r="F17" s="117"/>
      <c r="G17" s="72"/>
    </row>
    <row r="18" spans="1:8" ht="22.5" customHeight="1" x14ac:dyDescent="0.15">
      <c r="A18" s="80" t="s">
        <v>154</v>
      </c>
      <c r="B18" s="82"/>
      <c r="C18" s="73" t="s">
        <v>151</v>
      </c>
      <c r="D18" s="111"/>
      <c r="E18" s="111"/>
      <c r="F18" s="111"/>
      <c r="G18" s="74"/>
    </row>
    <row r="19" spans="1:8" ht="22.5" customHeight="1" x14ac:dyDescent="0.15">
      <c r="A19" s="112" t="s">
        <v>155</v>
      </c>
      <c r="B19" s="113"/>
      <c r="C19" s="71" t="s">
        <v>156</v>
      </c>
      <c r="D19" s="117"/>
      <c r="E19" s="117"/>
      <c r="F19" s="117"/>
      <c r="G19" s="72"/>
    </row>
    <row r="20" spans="1:8" ht="14.25" customHeight="1" x14ac:dyDescent="0.15">
      <c r="A20" s="63" t="s">
        <v>157</v>
      </c>
      <c r="B20" s="63"/>
      <c r="C20" s="63"/>
      <c r="D20" s="63"/>
      <c r="E20" s="63"/>
      <c r="F20" s="63"/>
      <c r="G20" s="63"/>
      <c r="H20" s="63"/>
    </row>
    <row r="21" spans="1:8" ht="15.75" customHeight="1" x14ac:dyDescent="0.15">
      <c r="A21" s="58" t="s">
        <v>158</v>
      </c>
      <c r="B21" s="60" t="s">
        <v>159</v>
      </c>
      <c r="C21" s="68"/>
      <c r="D21" s="68"/>
      <c r="E21" s="68"/>
      <c r="F21" s="61"/>
    </row>
    <row r="22" spans="1:8" ht="14.5" customHeight="1" x14ac:dyDescent="0.15">
      <c r="A22" s="59"/>
      <c r="B22" s="75">
        <v>20</v>
      </c>
      <c r="C22" s="124"/>
      <c r="D22" s="76"/>
      <c r="E22" s="75">
        <v>40</v>
      </c>
      <c r="F22" s="76"/>
    </row>
    <row r="23" spans="1:8" ht="17.75" customHeight="1" x14ac:dyDescent="0.15">
      <c r="A23" s="3" t="s">
        <v>160</v>
      </c>
      <c r="B23" s="125" t="s">
        <v>161</v>
      </c>
      <c r="C23" s="126"/>
      <c r="D23" s="127"/>
      <c r="E23" s="128" t="s">
        <v>162</v>
      </c>
      <c r="F23" s="129"/>
    </row>
    <row r="24" spans="1:8" ht="23.25" customHeight="1" x14ac:dyDescent="0.15">
      <c r="A24" s="2" t="s">
        <v>163</v>
      </c>
      <c r="B24" s="130" t="s">
        <v>164</v>
      </c>
      <c r="C24" s="131"/>
      <c r="D24" s="132"/>
      <c r="E24" s="130" t="s">
        <v>165</v>
      </c>
      <c r="F24" s="132"/>
    </row>
    <row r="25" spans="1:8" ht="17.75" customHeight="1" x14ac:dyDescent="0.15">
      <c r="A25" s="3" t="s">
        <v>166</v>
      </c>
      <c r="B25" s="125" t="s">
        <v>167</v>
      </c>
      <c r="C25" s="126"/>
      <c r="D25" s="127"/>
      <c r="E25" s="128" t="s">
        <v>168</v>
      </c>
      <c r="F25" s="129"/>
    </row>
    <row r="26" spans="1:8" ht="17.75" customHeight="1" x14ac:dyDescent="0.15">
      <c r="A26" s="2" t="s">
        <v>169</v>
      </c>
      <c r="B26" s="130" t="s">
        <v>170</v>
      </c>
      <c r="C26" s="131"/>
      <c r="D26" s="132"/>
      <c r="E26" s="130" t="s">
        <v>170</v>
      </c>
      <c r="F26" s="132"/>
    </row>
    <row r="27" spans="1:8" ht="17.75" customHeight="1" x14ac:dyDescent="0.15">
      <c r="A27" s="3" t="s">
        <v>171</v>
      </c>
      <c r="B27" s="125" t="s">
        <v>172</v>
      </c>
      <c r="C27" s="126"/>
      <c r="D27" s="127"/>
      <c r="E27" s="128" t="s">
        <v>172</v>
      </c>
      <c r="F27" s="129"/>
    </row>
    <row r="28" spans="1:8" ht="17.75" customHeight="1" x14ac:dyDescent="0.15">
      <c r="A28" s="2" t="s">
        <v>173</v>
      </c>
      <c r="B28" s="130" t="s">
        <v>174</v>
      </c>
      <c r="C28" s="131"/>
      <c r="D28" s="132"/>
      <c r="E28" s="133" t="s">
        <v>175</v>
      </c>
      <c r="F28" s="134"/>
    </row>
    <row r="29" spans="1:8" ht="18" customHeight="1" x14ac:dyDescent="0.15">
      <c r="A29" s="3" t="s">
        <v>176</v>
      </c>
      <c r="B29" s="125" t="s">
        <v>177</v>
      </c>
      <c r="C29" s="126"/>
      <c r="D29" s="127"/>
      <c r="E29" s="128" t="s">
        <v>178</v>
      </c>
      <c r="F29" s="129"/>
    </row>
    <row r="30" spans="1:8" ht="17.75" customHeight="1" x14ac:dyDescent="0.15">
      <c r="A30" s="2" t="s">
        <v>179</v>
      </c>
      <c r="B30" s="130" t="s">
        <v>180</v>
      </c>
      <c r="C30" s="131"/>
      <c r="D30" s="132"/>
      <c r="E30" s="133" t="s">
        <v>162</v>
      </c>
      <c r="F30" s="134"/>
    </row>
    <row r="31" spans="1:8" ht="17.75" customHeight="1" x14ac:dyDescent="0.15">
      <c r="A31" s="3" t="s">
        <v>181</v>
      </c>
      <c r="B31" s="125" t="s">
        <v>182</v>
      </c>
      <c r="C31" s="126"/>
      <c r="D31" s="127"/>
      <c r="E31" s="128" t="s">
        <v>183</v>
      </c>
      <c r="F31" s="129"/>
    </row>
    <row r="32" spans="1:8" ht="17.75" customHeight="1" x14ac:dyDescent="0.15">
      <c r="A32" s="2" t="s">
        <v>184</v>
      </c>
      <c r="B32" s="130" t="s">
        <v>185</v>
      </c>
      <c r="C32" s="131"/>
      <c r="D32" s="132"/>
      <c r="E32" s="133" t="s">
        <v>186</v>
      </c>
      <c r="F32" s="134"/>
    </row>
    <row r="33" spans="1:6" ht="23.25" customHeight="1" x14ac:dyDescent="0.15">
      <c r="A33" s="2" t="s">
        <v>187</v>
      </c>
      <c r="B33" s="135" t="s">
        <v>188</v>
      </c>
      <c r="C33" s="136"/>
      <c r="D33" s="137"/>
      <c r="E33" s="138" t="s">
        <v>189</v>
      </c>
      <c r="F33" s="139"/>
    </row>
    <row r="34" spans="1:6" ht="17.75" customHeight="1" x14ac:dyDescent="0.15">
      <c r="A34" s="3" t="s">
        <v>190</v>
      </c>
      <c r="B34" s="140" t="s">
        <v>191</v>
      </c>
      <c r="C34" s="141"/>
      <c r="D34" s="142"/>
      <c r="E34" s="143" t="s">
        <v>192</v>
      </c>
      <c r="F34" s="144"/>
    </row>
    <row r="35" spans="1:6" ht="25.5" customHeight="1" x14ac:dyDescent="0.15">
      <c r="A35" s="18" t="s">
        <v>193</v>
      </c>
      <c r="B35" s="135" t="s">
        <v>194</v>
      </c>
      <c r="C35" s="136"/>
      <c r="D35" s="137"/>
      <c r="E35" s="135" t="s">
        <v>195</v>
      </c>
      <c r="F35" s="137"/>
    </row>
    <row r="36" spans="1:6" ht="17.75" customHeight="1" x14ac:dyDescent="0.15">
      <c r="A36" s="3" t="s">
        <v>196</v>
      </c>
      <c r="B36" s="140" t="s">
        <v>197</v>
      </c>
      <c r="C36" s="141"/>
      <c r="D36" s="142"/>
      <c r="E36" s="143" t="s">
        <v>198</v>
      </c>
      <c r="F36" s="144"/>
    </row>
    <row r="37" spans="1:6" ht="17.75" customHeight="1" x14ac:dyDescent="0.15">
      <c r="A37" s="2" t="s">
        <v>199</v>
      </c>
      <c r="B37" s="135" t="s">
        <v>200</v>
      </c>
      <c r="C37" s="136"/>
      <c r="D37" s="137"/>
      <c r="E37" s="135" t="s">
        <v>201</v>
      </c>
      <c r="F37" s="137"/>
    </row>
    <row r="38" spans="1:6" ht="25.5" customHeight="1" x14ac:dyDescent="0.15">
      <c r="A38" s="19" t="s">
        <v>202</v>
      </c>
      <c r="B38" s="145" t="s">
        <v>203</v>
      </c>
      <c r="C38" s="146"/>
      <c r="D38" s="147"/>
      <c r="E38" s="145" t="s">
        <v>204</v>
      </c>
      <c r="F38" s="147"/>
    </row>
    <row r="39" spans="1:6" ht="25.5" customHeight="1" x14ac:dyDescent="0.15">
      <c r="A39" s="18" t="s">
        <v>205</v>
      </c>
      <c r="B39" s="148" t="s">
        <v>206</v>
      </c>
      <c r="C39" s="149"/>
      <c r="D39" s="150"/>
      <c r="E39" s="148" t="s">
        <v>207</v>
      </c>
      <c r="F39" s="150"/>
    </row>
    <row r="40" spans="1:6" ht="25.5" customHeight="1" x14ac:dyDescent="0.15">
      <c r="A40" s="19" t="s">
        <v>208</v>
      </c>
      <c r="B40" s="140" t="s">
        <v>207</v>
      </c>
      <c r="C40" s="141"/>
      <c r="D40" s="142"/>
      <c r="E40" s="145" t="s">
        <v>207</v>
      </c>
      <c r="F40" s="147"/>
    </row>
    <row r="41" spans="1:6" ht="25.5" customHeight="1" x14ac:dyDescent="0.15">
      <c r="A41" s="18" t="s">
        <v>209</v>
      </c>
      <c r="B41" s="135" t="s">
        <v>185</v>
      </c>
      <c r="C41" s="136"/>
      <c r="D41" s="137"/>
      <c r="E41" s="138" t="s">
        <v>185</v>
      </c>
      <c r="F41" s="139"/>
    </row>
    <row r="42" spans="1:6" ht="17.75" customHeight="1" x14ac:dyDescent="0.15">
      <c r="A42" s="3" t="s">
        <v>210</v>
      </c>
      <c r="B42" s="140" t="s">
        <v>188</v>
      </c>
      <c r="C42" s="141"/>
      <c r="D42" s="142"/>
      <c r="E42" s="143" t="s">
        <v>188</v>
      </c>
      <c r="F42" s="144"/>
    </row>
    <row r="43" spans="1:6" ht="23.25" customHeight="1" x14ac:dyDescent="0.15">
      <c r="A43" s="2" t="s">
        <v>211</v>
      </c>
      <c r="B43" s="148" t="s">
        <v>212</v>
      </c>
      <c r="C43" s="149"/>
      <c r="D43" s="150"/>
      <c r="E43" s="138" t="s">
        <v>213</v>
      </c>
      <c r="F43" s="139"/>
    </row>
    <row r="44" spans="1:6" ht="34.5" customHeight="1" x14ac:dyDescent="0.15">
      <c r="A44" s="3" t="s">
        <v>214</v>
      </c>
      <c r="B44" s="140" t="s">
        <v>215</v>
      </c>
      <c r="C44" s="141"/>
      <c r="D44" s="142"/>
      <c r="E44" s="143" t="s">
        <v>216</v>
      </c>
      <c r="F44" s="144"/>
    </row>
    <row r="45" spans="1:6" ht="34.5" customHeight="1" x14ac:dyDescent="0.15">
      <c r="A45" s="2" t="s">
        <v>217</v>
      </c>
      <c r="B45" s="135" t="s">
        <v>218</v>
      </c>
      <c r="C45" s="136"/>
      <c r="D45" s="137"/>
      <c r="E45" s="138" t="s">
        <v>219</v>
      </c>
      <c r="F45" s="139"/>
    </row>
    <row r="46" spans="1:6" ht="34.5" customHeight="1" x14ac:dyDescent="0.15">
      <c r="A46" s="3" t="s">
        <v>220</v>
      </c>
      <c r="B46" s="143" t="s">
        <v>221</v>
      </c>
      <c r="C46" s="151"/>
      <c r="D46" s="144"/>
      <c r="E46" s="143" t="s">
        <v>222</v>
      </c>
      <c r="F46" s="144"/>
    </row>
    <row r="47" spans="1:6" ht="17.75" customHeight="1" x14ac:dyDescent="0.15">
      <c r="A47" s="2" t="s">
        <v>223</v>
      </c>
      <c r="B47" s="135" t="s">
        <v>206</v>
      </c>
      <c r="C47" s="136"/>
      <c r="D47" s="137"/>
      <c r="E47" s="148" t="s">
        <v>207</v>
      </c>
      <c r="F47" s="150"/>
    </row>
    <row r="48" spans="1:6" ht="25.5" customHeight="1" x14ac:dyDescent="0.15">
      <c r="A48" s="19" t="s">
        <v>224</v>
      </c>
      <c r="B48" s="140" t="s">
        <v>225</v>
      </c>
      <c r="C48" s="141"/>
      <c r="D48" s="142"/>
      <c r="E48" s="140" t="s">
        <v>226</v>
      </c>
      <c r="F48" s="142"/>
    </row>
    <row r="49" spans="1:8" ht="25.5" customHeight="1" x14ac:dyDescent="0.15">
      <c r="A49" s="18" t="s">
        <v>227</v>
      </c>
      <c r="B49" s="135" t="s">
        <v>228</v>
      </c>
      <c r="C49" s="136"/>
      <c r="D49" s="137"/>
      <c r="E49" s="135" t="s">
        <v>229</v>
      </c>
      <c r="F49" s="137"/>
    </row>
    <row r="50" spans="1:8" ht="25.5" customHeight="1" x14ac:dyDescent="0.15">
      <c r="A50" s="19" t="s">
        <v>230</v>
      </c>
      <c r="B50" s="140" t="s">
        <v>231</v>
      </c>
      <c r="C50" s="141"/>
      <c r="D50" s="142"/>
      <c r="E50" s="143" t="s">
        <v>232</v>
      </c>
      <c r="F50" s="144"/>
    </row>
    <row r="51" spans="1:8" ht="25.5" customHeight="1" x14ac:dyDescent="0.15">
      <c r="A51" s="18" t="s">
        <v>233</v>
      </c>
      <c r="B51" s="135" t="s">
        <v>234</v>
      </c>
      <c r="C51" s="136"/>
      <c r="D51" s="137"/>
      <c r="E51" s="138" t="s">
        <v>235</v>
      </c>
      <c r="F51" s="139"/>
    </row>
    <row r="52" spans="1:8" ht="23.25" customHeight="1" x14ac:dyDescent="0.15">
      <c r="A52" s="3" t="s">
        <v>236</v>
      </c>
      <c r="B52" s="140" t="s">
        <v>237</v>
      </c>
      <c r="C52" s="141"/>
      <c r="D52" s="142"/>
      <c r="E52" s="140" t="s">
        <v>238</v>
      </c>
      <c r="F52" s="142"/>
    </row>
    <row r="53" spans="1:8" ht="34.5" customHeight="1" x14ac:dyDescent="0.15">
      <c r="A53" s="2" t="s">
        <v>239</v>
      </c>
      <c r="B53" s="135" t="s">
        <v>240</v>
      </c>
      <c r="C53" s="136"/>
      <c r="D53" s="137"/>
      <c r="E53" s="138" t="s">
        <v>241</v>
      </c>
      <c r="F53" s="139"/>
    </row>
    <row r="54" spans="1:8" ht="23.25" customHeight="1" x14ac:dyDescent="0.15">
      <c r="A54" s="3" t="s">
        <v>242</v>
      </c>
      <c r="B54" s="140" t="s">
        <v>243</v>
      </c>
      <c r="C54" s="141"/>
      <c r="D54" s="142"/>
      <c r="E54" s="143" t="s">
        <v>244</v>
      </c>
      <c r="F54" s="144"/>
    </row>
    <row r="55" spans="1:8" ht="47" customHeight="1" x14ac:dyDescent="0.15">
      <c r="A55" s="44" t="s">
        <v>245</v>
      </c>
      <c r="B55" s="44"/>
      <c r="C55" s="44"/>
      <c r="D55" s="44"/>
      <c r="E55" s="44"/>
      <c r="F55" s="44"/>
      <c r="G55" s="44"/>
      <c r="H55" s="44"/>
    </row>
    <row r="56" spans="1:8" ht="18.75" customHeight="1" x14ac:dyDescent="0.15">
      <c r="A56" s="62" t="s">
        <v>246</v>
      </c>
      <c r="B56" s="62"/>
      <c r="C56" s="62"/>
      <c r="D56" s="62"/>
      <c r="E56" s="62"/>
      <c r="F56" s="62"/>
      <c r="G56" s="62"/>
      <c r="H56" s="62"/>
    </row>
    <row r="57" spans="1:8" ht="45" customHeight="1" x14ac:dyDescent="0.15">
      <c r="A57" s="44" t="s">
        <v>247</v>
      </c>
      <c r="B57" s="44"/>
      <c r="C57" s="44"/>
      <c r="D57" s="44"/>
      <c r="E57" s="44"/>
      <c r="F57" s="44"/>
      <c r="G57" s="44"/>
      <c r="H57" s="44"/>
    </row>
  </sheetData>
  <mergeCells count="112">
    <mergeCell ref="A55:H55"/>
    <mergeCell ref="A56:H56"/>
    <mergeCell ref="A57:H57"/>
    <mergeCell ref="B50:D50"/>
    <mergeCell ref="E50:F50"/>
    <mergeCell ref="B51:D51"/>
    <mergeCell ref="E51:F51"/>
    <mergeCell ref="B52:D52"/>
    <mergeCell ref="E52:F52"/>
    <mergeCell ref="B53:D53"/>
    <mergeCell ref="E53:F53"/>
    <mergeCell ref="B54:D54"/>
    <mergeCell ref="E54:F5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A20:H20"/>
    <mergeCell ref="A21:A22"/>
    <mergeCell ref="B21:F21"/>
    <mergeCell ref="B22:D22"/>
    <mergeCell ref="E22:F22"/>
    <mergeCell ref="B23:D23"/>
    <mergeCell ref="E23:F23"/>
    <mergeCell ref="B24:D24"/>
    <mergeCell ref="E24:F2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E14"/>
    <mergeCell ref="F14:G14"/>
    <mergeCell ref="A6:H6"/>
    <mergeCell ref="A7:B7"/>
    <mergeCell ref="C7:E7"/>
    <mergeCell ref="F7:G7"/>
    <mergeCell ref="A8:B8"/>
    <mergeCell ref="C8:E8"/>
    <mergeCell ref="F8:G8"/>
    <mergeCell ref="A9:B9"/>
    <mergeCell ref="C9:E9"/>
    <mergeCell ref="F9:G9"/>
    <mergeCell ref="A1:C1"/>
    <mergeCell ref="D1:G1"/>
    <mergeCell ref="A2:C2"/>
    <mergeCell ref="D2:G2"/>
    <mergeCell ref="A3:C3"/>
    <mergeCell ref="D3:G3"/>
    <mergeCell ref="A4:C4"/>
    <mergeCell ref="D4:G4"/>
    <mergeCell ref="A5:H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7788-5926-C747-AB15-C5DE268CAFD4}">
  <dimension ref="A1:R85"/>
  <sheetViews>
    <sheetView workbookViewId="0">
      <pane ySplit="1" topLeftCell="A40" activePane="bottomLeft" state="frozen"/>
      <selection pane="bottomLeft" activeCell="H44" sqref="H44"/>
    </sheetView>
  </sheetViews>
  <sheetFormatPr baseColWidth="10" defaultRowHeight="13" x14ac:dyDescent="0.15"/>
  <cols>
    <col min="1" max="1" width="15.19921875" style="25" bestFit="1" customWidth="1"/>
    <col min="2" max="2" width="13.796875" style="25" bestFit="1" customWidth="1"/>
    <col min="3" max="3" width="22.796875" style="25" bestFit="1" customWidth="1"/>
    <col min="4" max="4" width="27.796875" style="25" bestFit="1" customWidth="1"/>
    <col min="5" max="5" width="20" style="25" customWidth="1"/>
    <col min="6" max="6" width="36.3984375" style="25" customWidth="1"/>
    <col min="7" max="7" width="23.59765625" style="25" bestFit="1" customWidth="1"/>
    <col min="8" max="8" width="22.19921875" style="25" bestFit="1" customWidth="1"/>
    <col min="9" max="9" width="9.19921875" style="25" bestFit="1" customWidth="1"/>
    <col min="10" max="10" width="15.3984375" style="25" bestFit="1" customWidth="1"/>
    <col min="11" max="11" width="21.3984375" style="25" bestFit="1" customWidth="1"/>
    <col min="12" max="12" width="15.796875" style="25" bestFit="1" customWidth="1"/>
    <col min="13" max="13" width="15.3984375" style="25" bestFit="1" customWidth="1"/>
    <col min="14" max="14" width="17.3984375" style="25" bestFit="1" customWidth="1"/>
    <col min="15" max="15" width="16" style="25" customWidth="1"/>
    <col min="16" max="16" width="13.19921875" style="25" bestFit="1" customWidth="1"/>
    <col min="17" max="17" width="21.3984375" style="25" bestFit="1" customWidth="1"/>
    <col min="18" max="18" width="11" style="25"/>
  </cols>
  <sheetData>
    <row r="1" spans="1:18" s="23" customFormat="1" ht="78" x14ac:dyDescent="0.25">
      <c r="A1" s="20" t="s">
        <v>248</v>
      </c>
      <c r="B1" s="20" t="s">
        <v>249</v>
      </c>
      <c r="C1" s="20" t="s">
        <v>250</v>
      </c>
      <c r="D1" s="20" t="s">
        <v>251</v>
      </c>
      <c r="E1" s="20" t="s">
        <v>252</v>
      </c>
      <c r="F1" s="20" t="s">
        <v>253</v>
      </c>
      <c r="G1" s="20" t="s">
        <v>264</v>
      </c>
      <c r="H1" s="21" t="s">
        <v>254</v>
      </c>
      <c r="I1" s="20" t="s">
        <v>255</v>
      </c>
      <c r="J1" s="22" t="s">
        <v>256</v>
      </c>
      <c r="K1" s="22" t="s">
        <v>257</v>
      </c>
      <c r="L1" s="22" t="s">
        <v>258</v>
      </c>
      <c r="M1" s="22" t="s">
        <v>259</v>
      </c>
      <c r="N1" s="22" t="s">
        <v>260</v>
      </c>
      <c r="O1" s="22" t="s">
        <v>261</v>
      </c>
      <c r="P1" s="22" t="s">
        <v>262</v>
      </c>
      <c r="Q1" s="20" t="s">
        <v>263</v>
      </c>
      <c r="R1" s="24"/>
    </row>
    <row r="2" spans="1:18" ht="14" x14ac:dyDescent="0.15">
      <c r="A2" s="26" t="s">
        <v>265</v>
      </c>
      <c r="B2" s="26" t="s">
        <v>266</v>
      </c>
      <c r="C2" s="25" t="str">
        <f>'Table 1'!B13</f>
        <v>20' &lt; 24тонн</v>
      </c>
      <c r="D2" s="25" t="str">
        <f>'Table 1'!$A$5</f>
        <v>NINGBO</v>
      </c>
      <c r="E2" s="26" t="s">
        <v>269</v>
      </c>
      <c r="F2" s="25" t="str" cm="1">
        <f t="array" ref="F2:F8">'Table 1'!A14:A20</f>
        <v>МОСКВА</v>
      </c>
      <c r="G2" s="25" t="str">
        <f>'Table 1'!$D$5</f>
        <v>$1 150</v>
      </c>
      <c r="H2" s="25" t="str">
        <f>'Table 1'!B14</f>
        <v>165 000₽</v>
      </c>
    </row>
    <row r="3" spans="1:18" ht="14" x14ac:dyDescent="0.15">
      <c r="A3" s="26" t="s">
        <v>265</v>
      </c>
      <c r="B3" s="26" t="s">
        <v>266</v>
      </c>
      <c r="C3" s="25" t="str">
        <f>$C$2</f>
        <v>20' &lt; 24тонн</v>
      </c>
      <c r="D3" s="25" t="str">
        <f>'Table 1'!$A$5</f>
        <v>NINGBO</v>
      </c>
      <c r="E3" s="26" t="s">
        <v>269</v>
      </c>
      <c r="F3" s="25" t="str">
        <v>ЕКАТЕРИНБУРГ</v>
      </c>
      <c r="G3" s="25" t="str">
        <f>'Table 1'!$D$5</f>
        <v>$1 150</v>
      </c>
      <c r="H3" s="25" t="str">
        <f>'Table 1'!B15</f>
        <v>185 000₽</v>
      </c>
    </row>
    <row r="4" spans="1:18" ht="14" x14ac:dyDescent="0.15">
      <c r="A4" s="26" t="s">
        <v>265</v>
      </c>
      <c r="B4" s="26" t="s">
        <v>266</v>
      </c>
      <c r="C4" s="25" t="str">
        <f t="shared" ref="C4:C43" si="0">$C$2</f>
        <v>20' &lt; 24тонн</v>
      </c>
      <c r="D4" s="25" t="str">
        <f>'Table 1'!$A$5</f>
        <v>NINGBO</v>
      </c>
      <c r="E4" s="26" t="s">
        <v>269</v>
      </c>
      <c r="F4" s="25" t="str">
        <v>НОВОСИБИРСК</v>
      </c>
      <c r="G4" s="25" t="str">
        <f>'Table 1'!$D$5</f>
        <v>$1 150</v>
      </c>
      <c r="H4" s="25" t="str">
        <f>'Table 1'!B16</f>
        <v>152 000₽</v>
      </c>
    </row>
    <row r="5" spans="1:18" ht="14" x14ac:dyDescent="0.15">
      <c r="A5" s="26" t="s">
        <v>265</v>
      </c>
      <c r="B5" s="26" t="s">
        <v>266</v>
      </c>
      <c r="C5" s="25" t="str">
        <f t="shared" si="0"/>
        <v>20' &lt; 24тонн</v>
      </c>
      <c r="D5" s="25" t="str">
        <f>'Table 1'!$A$5</f>
        <v>NINGBO</v>
      </c>
      <c r="E5" s="26" t="s">
        <v>269</v>
      </c>
      <c r="F5" s="25" t="str">
        <v>САНКТ-ПЕТЕРБУРГ</v>
      </c>
      <c r="G5" s="25" t="str">
        <f>'Table 1'!$D$5</f>
        <v>$1 150</v>
      </c>
      <c r="H5" s="25" t="str">
        <f>'Table 1'!B17</f>
        <v>176 000₽</v>
      </c>
    </row>
    <row r="6" spans="1:18" ht="14" x14ac:dyDescent="0.15">
      <c r="A6" s="26" t="s">
        <v>265</v>
      </c>
      <c r="B6" s="26" t="s">
        <v>266</v>
      </c>
      <c r="C6" s="25" t="str">
        <f t="shared" si="0"/>
        <v>20' &lt; 24тонн</v>
      </c>
      <c r="D6" s="25" t="str">
        <f>'Table 1'!$A$5</f>
        <v>NINGBO</v>
      </c>
      <c r="E6" s="26" t="s">
        <v>269</v>
      </c>
      <c r="F6" s="25" t="str">
        <v>ТОЛЬЯТТИ</v>
      </c>
      <c r="G6" s="25" t="str">
        <f>'Table 1'!$D$5</f>
        <v>$1 150</v>
      </c>
      <c r="H6" s="25" t="str">
        <f>'Table 1'!B18</f>
        <v>187 000₽</v>
      </c>
    </row>
    <row r="7" spans="1:18" ht="14" x14ac:dyDescent="0.15">
      <c r="A7" s="26" t="s">
        <v>265</v>
      </c>
      <c r="B7" s="26" t="s">
        <v>266</v>
      </c>
      <c r="C7" s="25" t="str">
        <f t="shared" si="0"/>
        <v>20' &lt; 24тонн</v>
      </c>
      <c r="D7" s="25" t="str">
        <f>'Table 1'!$A$5</f>
        <v>NINGBO</v>
      </c>
      <c r="E7" s="26" t="s">
        <v>269</v>
      </c>
      <c r="F7" s="25" t="str">
        <v>КРАСНОЯРСК</v>
      </c>
      <c r="G7" s="25" t="str">
        <f>'Table 1'!$D$5</f>
        <v>$1 150</v>
      </c>
      <c r="H7" s="25" t="str">
        <f>'Table 1'!B19</f>
        <v>157 000₽</v>
      </c>
    </row>
    <row r="8" spans="1:18" ht="14" x14ac:dyDescent="0.15">
      <c r="A8" s="26" t="s">
        <v>265</v>
      </c>
      <c r="B8" s="26" t="s">
        <v>266</v>
      </c>
      <c r="C8" s="25" t="str">
        <f t="shared" si="0"/>
        <v>20' &lt; 24тонн</v>
      </c>
      <c r="D8" s="25" t="str">
        <f>'Table 1'!$A$5</f>
        <v>NINGBO</v>
      </c>
      <c r="E8" s="26" t="s">
        <v>269</v>
      </c>
      <c r="F8" s="25" t="str">
        <v>РОСТОВ-НА-ДОНУ*</v>
      </c>
      <c r="G8" s="25" t="str">
        <f>'Table 1'!$D$5</f>
        <v>$1 150</v>
      </c>
      <c r="H8" s="25" t="str">
        <f>'Table 1'!B20</f>
        <v>199 000₽</v>
      </c>
    </row>
    <row r="9" spans="1:18" ht="14" x14ac:dyDescent="0.15">
      <c r="A9" s="26" t="s">
        <v>265</v>
      </c>
      <c r="B9" s="26" t="s">
        <v>266</v>
      </c>
      <c r="C9" s="25" t="str">
        <f t="shared" si="0"/>
        <v>20' &lt; 24тонн</v>
      </c>
      <c r="D9" s="25" t="str">
        <f>'Table 1'!$A$6</f>
        <v>SHANGHAI</v>
      </c>
      <c r="E9" s="26" t="s">
        <v>269</v>
      </c>
      <c r="F9" s="25" t="str" cm="1">
        <f t="array" ref="F9:F15">'Table 1'!A14:A20</f>
        <v>МОСКВА</v>
      </c>
      <c r="G9" s="25" t="str">
        <f>'Table 1'!$D$6</f>
        <v>$1 150</v>
      </c>
      <c r="H9" s="25" t="str">
        <f>'Table 1'!B14</f>
        <v>165 000₽</v>
      </c>
    </row>
    <row r="10" spans="1:18" ht="14" x14ac:dyDescent="0.15">
      <c r="A10" s="26" t="s">
        <v>265</v>
      </c>
      <c r="B10" s="26" t="s">
        <v>266</v>
      </c>
      <c r="C10" s="25" t="str">
        <f t="shared" si="0"/>
        <v>20' &lt; 24тонн</v>
      </c>
      <c r="D10" s="25" t="str">
        <f>'Table 1'!$A$6</f>
        <v>SHANGHAI</v>
      </c>
      <c r="E10" s="26" t="s">
        <v>269</v>
      </c>
      <c r="F10" s="25" t="str">
        <v>ЕКАТЕРИНБУРГ</v>
      </c>
      <c r="G10" s="25" t="str">
        <f>'Table 1'!$D$6</f>
        <v>$1 150</v>
      </c>
      <c r="H10" s="25" t="str">
        <f>'Table 1'!B15</f>
        <v>185 000₽</v>
      </c>
    </row>
    <row r="11" spans="1:18" ht="14" x14ac:dyDescent="0.15">
      <c r="A11" s="26" t="s">
        <v>265</v>
      </c>
      <c r="B11" s="26" t="s">
        <v>266</v>
      </c>
      <c r="C11" s="25" t="str">
        <f t="shared" si="0"/>
        <v>20' &lt; 24тонн</v>
      </c>
      <c r="D11" s="25" t="str">
        <f>'Table 1'!$A$6</f>
        <v>SHANGHAI</v>
      </c>
      <c r="E11" s="26" t="s">
        <v>269</v>
      </c>
      <c r="F11" s="25" t="str">
        <v>НОВОСИБИРСК</v>
      </c>
      <c r="G11" s="25" t="str">
        <f>'Table 1'!$D$6</f>
        <v>$1 150</v>
      </c>
      <c r="H11" s="25" t="str">
        <f>'Table 1'!B16</f>
        <v>152 000₽</v>
      </c>
    </row>
    <row r="12" spans="1:18" ht="14" x14ac:dyDescent="0.15">
      <c r="A12" s="26" t="s">
        <v>265</v>
      </c>
      <c r="B12" s="26" t="s">
        <v>266</v>
      </c>
      <c r="C12" s="25" t="str">
        <f t="shared" si="0"/>
        <v>20' &lt; 24тонн</v>
      </c>
      <c r="D12" s="25" t="str">
        <f>'Table 1'!$A$6</f>
        <v>SHANGHAI</v>
      </c>
      <c r="E12" s="26" t="s">
        <v>269</v>
      </c>
      <c r="F12" s="25" t="str">
        <v>САНКТ-ПЕТЕРБУРГ</v>
      </c>
      <c r="G12" s="25" t="str">
        <f>'Table 1'!$D$6</f>
        <v>$1 150</v>
      </c>
      <c r="H12" s="25" t="str">
        <f>'Table 1'!B17</f>
        <v>176 000₽</v>
      </c>
    </row>
    <row r="13" spans="1:18" ht="14" x14ac:dyDescent="0.15">
      <c r="A13" s="26" t="s">
        <v>265</v>
      </c>
      <c r="B13" s="26" t="s">
        <v>266</v>
      </c>
      <c r="C13" s="25" t="str">
        <f t="shared" si="0"/>
        <v>20' &lt; 24тонн</v>
      </c>
      <c r="D13" s="25" t="str">
        <f>'Table 1'!$A$6</f>
        <v>SHANGHAI</v>
      </c>
      <c r="E13" s="26" t="s">
        <v>269</v>
      </c>
      <c r="F13" s="25" t="str">
        <v>ТОЛЬЯТТИ</v>
      </c>
      <c r="G13" s="25" t="str">
        <f>'Table 1'!$D$6</f>
        <v>$1 150</v>
      </c>
      <c r="H13" s="25" t="str">
        <f>'Table 1'!B18</f>
        <v>187 000₽</v>
      </c>
    </row>
    <row r="14" spans="1:18" ht="14" x14ac:dyDescent="0.15">
      <c r="A14" s="26" t="s">
        <v>265</v>
      </c>
      <c r="B14" s="26" t="s">
        <v>266</v>
      </c>
      <c r="C14" s="25" t="str">
        <f t="shared" si="0"/>
        <v>20' &lt; 24тонн</v>
      </c>
      <c r="D14" s="25" t="str">
        <f>'Table 1'!$A$6</f>
        <v>SHANGHAI</v>
      </c>
      <c r="E14" s="26" t="s">
        <v>269</v>
      </c>
      <c r="F14" s="25" t="str">
        <v>КРАСНОЯРСК</v>
      </c>
      <c r="G14" s="25" t="str">
        <f>'Table 1'!$D$6</f>
        <v>$1 150</v>
      </c>
      <c r="H14" s="25" t="str">
        <f>'Table 1'!B19</f>
        <v>157 000₽</v>
      </c>
    </row>
    <row r="15" spans="1:18" ht="14" x14ac:dyDescent="0.15">
      <c r="A15" s="26" t="s">
        <v>265</v>
      </c>
      <c r="B15" s="26" t="s">
        <v>266</v>
      </c>
      <c r="C15" s="25" t="str">
        <f t="shared" si="0"/>
        <v>20' &lt; 24тонн</v>
      </c>
      <c r="D15" s="25" t="str">
        <f>'Table 1'!$A$6</f>
        <v>SHANGHAI</v>
      </c>
      <c r="E15" s="26" t="s">
        <v>269</v>
      </c>
      <c r="F15" s="25" t="str">
        <v>РОСТОВ-НА-ДОНУ*</v>
      </c>
      <c r="G15" s="25" t="str">
        <f>'Table 1'!$D$6</f>
        <v>$1 150</v>
      </c>
      <c r="H15" s="25" t="str">
        <f>'Table 1'!B20</f>
        <v>199 000₽</v>
      </c>
    </row>
    <row r="16" spans="1:18" ht="14" x14ac:dyDescent="0.15">
      <c r="A16" s="26" t="s">
        <v>265</v>
      </c>
      <c r="B16" s="26" t="s">
        <v>266</v>
      </c>
      <c r="C16" s="25" t="str">
        <f t="shared" si="0"/>
        <v>20' &lt; 24тонн</v>
      </c>
      <c r="D16" s="25" t="str">
        <f>'Table 1'!$A$7</f>
        <v>RIZHAO</v>
      </c>
      <c r="E16" s="26" t="s">
        <v>269</v>
      </c>
      <c r="F16" s="25" t="str" cm="1">
        <f t="array" ref="F16:F22">'Table 1'!A14:A20</f>
        <v>МОСКВА</v>
      </c>
      <c r="G16" s="25" t="str">
        <f>'Table 1'!$D$7</f>
        <v>$1 150</v>
      </c>
      <c r="H16" s="25" t="str">
        <f>'Table 1'!B14</f>
        <v>165 000₽</v>
      </c>
    </row>
    <row r="17" spans="1:8" ht="14" x14ac:dyDescent="0.15">
      <c r="A17" s="26" t="s">
        <v>265</v>
      </c>
      <c r="B17" s="26" t="s">
        <v>266</v>
      </c>
      <c r="C17" s="25" t="str">
        <f t="shared" si="0"/>
        <v>20' &lt; 24тонн</v>
      </c>
      <c r="D17" s="25" t="str">
        <f>'Table 1'!$A$7</f>
        <v>RIZHAO</v>
      </c>
      <c r="E17" s="26" t="s">
        <v>269</v>
      </c>
      <c r="F17" s="25" t="str">
        <v>ЕКАТЕРИНБУРГ</v>
      </c>
      <c r="G17" s="25" t="str">
        <f>'Table 1'!$D$7</f>
        <v>$1 150</v>
      </c>
      <c r="H17" s="25" t="str">
        <f>'Table 1'!B15</f>
        <v>185 000₽</v>
      </c>
    </row>
    <row r="18" spans="1:8" ht="14" x14ac:dyDescent="0.15">
      <c r="A18" s="26" t="s">
        <v>265</v>
      </c>
      <c r="B18" s="26" t="s">
        <v>266</v>
      </c>
      <c r="C18" s="25" t="str">
        <f t="shared" si="0"/>
        <v>20' &lt; 24тонн</v>
      </c>
      <c r="D18" s="25" t="str">
        <f>'Table 1'!$A$7</f>
        <v>RIZHAO</v>
      </c>
      <c r="E18" s="26" t="s">
        <v>269</v>
      </c>
      <c r="F18" s="25" t="str">
        <v>НОВОСИБИРСК</v>
      </c>
      <c r="G18" s="25" t="str">
        <f>'Table 1'!$D$7</f>
        <v>$1 150</v>
      </c>
      <c r="H18" s="25" t="str">
        <f>'Table 1'!B16</f>
        <v>152 000₽</v>
      </c>
    </row>
    <row r="19" spans="1:8" ht="14" x14ac:dyDescent="0.15">
      <c r="A19" s="26" t="s">
        <v>265</v>
      </c>
      <c r="B19" s="26" t="s">
        <v>266</v>
      </c>
      <c r="C19" s="25" t="str">
        <f t="shared" si="0"/>
        <v>20' &lt; 24тонн</v>
      </c>
      <c r="D19" s="25" t="str">
        <f>'Table 1'!$A$7</f>
        <v>RIZHAO</v>
      </c>
      <c r="E19" s="26" t="s">
        <v>269</v>
      </c>
      <c r="F19" s="25" t="str">
        <v>САНКТ-ПЕТЕРБУРГ</v>
      </c>
      <c r="G19" s="25" t="str">
        <f>'Table 1'!$D$7</f>
        <v>$1 150</v>
      </c>
      <c r="H19" s="25" t="str">
        <f>'Table 1'!B17</f>
        <v>176 000₽</v>
      </c>
    </row>
    <row r="20" spans="1:8" ht="14" x14ac:dyDescent="0.15">
      <c r="A20" s="26" t="s">
        <v>265</v>
      </c>
      <c r="B20" s="26" t="s">
        <v>266</v>
      </c>
      <c r="C20" s="25" t="str">
        <f t="shared" si="0"/>
        <v>20' &lt; 24тонн</v>
      </c>
      <c r="D20" s="25" t="str">
        <f>'Table 1'!$A$7</f>
        <v>RIZHAO</v>
      </c>
      <c r="E20" s="26" t="s">
        <v>269</v>
      </c>
      <c r="F20" s="25" t="str">
        <v>ТОЛЬЯТТИ</v>
      </c>
      <c r="G20" s="25" t="str">
        <f>'Table 1'!$D$7</f>
        <v>$1 150</v>
      </c>
      <c r="H20" s="25" t="str">
        <f>'Table 1'!B18</f>
        <v>187 000₽</v>
      </c>
    </row>
    <row r="21" spans="1:8" ht="14" x14ac:dyDescent="0.15">
      <c r="A21" s="26" t="s">
        <v>265</v>
      </c>
      <c r="B21" s="26" t="s">
        <v>266</v>
      </c>
      <c r="C21" s="25" t="str">
        <f t="shared" si="0"/>
        <v>20' &lt; 24тонн</v>
      </c>
      <c r="D21" s="25" t="str">
        <f>'Table 1'!$A$7</f>
        <v>RIZHAO</v>
      </c>
      <c r="E21" s="26" t="s">
        <v>269</v>
      </c>
      <c r="F21" s="25" t="str">
        <v>КРАСНОЯРСК</v>
      </c>
      <c r="G21" s="25" t="str">
        <f>'Table 1'!$D$7</f>
        <v>$1 150</v>
      </c>
      <c r="H21" s="25" t="str">
        <f>'Table 1'!B19</f>
        <v>157 000₽</v>
      </c>
    </row>
    <row r="22" spans="1:8" ht="14" x14ac:dyDescent="0.15">
      <c r="A22" s="26" t="s">
        <v>265</v>
      </c>
      <c r="B22" s="26" t="s">
        <v>266</v>
      </c>
      <c r="C22" s="25" t="str">
        <f t="shared" si="0"/>
        <v>20' &lt; 24тонн</v>
      </c>
      <c r="D22" s="25" t="str">
        <f>'Table 1'!$A$7</f>
        <v>RIZHAO</v>
      </c>
      <c r="E22" s="26" t="s">
        <v>269</v>
      </c>
      <c r="F22" s="25" t="str">
        <v>РОСТОВ-НА-ДОНУ*</v>
      </c>
      <c r="G22" s="25" t="str">
        <f>'Table 1'!$D$7</f>
        <v>$1 150</v>
      </c>
      <c r="H22" s="25" t="str">
        <f>'Table 1'!B20</f>
        <v>199 000₽</v>
      </c>
    </row>
    <row r="23" spans="1:8" ht="14" x14ac:dyDescent="0.15">
      <c r="A23" s="26" t="s">
        <v>265</v>
      </c>
      <c r="B23" s="26" t="s">
        <v>266</v>
      </c>
      <c r="C23" s="25" t="str">
        <f t="shared" si="0"/>
        <v>20' &lt; 24тонн</v>
      </c>
      <c r="D23" s="25" t="str">
        <f>'Table 1'!$A$8</f>
        <v>XINGANG*</v>
      </c>
      <c r="E23" s="26" t="s">
        <v>269</v>
      </c>
      <c r="F23" s="25" t="str" cm="1">
        <f t="array" ref="F23:F29">'Table 1'!A14:A20</f>
        <v>МОСКВА</v>
      </c>
      <c r="G23" s="25" t="str">
        <f>'Table 1'!$D$8</f>
        <v>$1 650</v>
      </c>
      <c r="H23" s="25" t="str">
        <f>'Table 1'!B14</f>
        <v>165 000₽</v>
      </c>
    </row>
    <row r="24" spans="1:8" ht="14" x14ac:dyDescent="0.15">
      <c r="A24" s="26" t="s">
        <v>265</v>
      </c>
      <c r="B24" s="26" t="s">
        <v>266</v>
      </c>
      <c r="C24" s="25" t="str">
        <f t="shared" si="0"/>
        <v>20' &lt; 24тонн</v>
      </c>
      <c r="D24" s="25" t="str">
        <f>'Table 1'!$A$8</f>
        <v>XINGANG*</v>
      </c>
      <c r="E24" s="26" t="s">
        <v>269</v>
      </c>
      <c r="F24" s="25" t="str">
        <v>ЕКАТЕРИНБУРГ</v>
      </c>
      <c r="G24" s="25" t="str">
        <f>'Table 1'!$D$8</f>
        <v>$1 650</v>
      </c>
      <c r="H24" s="25" t="str">
        <f>'Table 1'!B15</f>
        <v>185 000₽</v>
      </c>
    </row>
    <row r="25" spans="1:8" ht="14" x14ac:dyDescent="0.15">
      <c r="A25" s="26" t="s">
        <v>265</v>
      </c>
      <c r="B25" s="26" t="s">
        <v>266</v>
      </c>
      <c r="C25" s="25" t="str">
        <f t="shared" si="0"/>
        <v>20' &lt; 24тонн</v>
      </c>
      <c r="D25" s="25" t="str">
        <f>'Table 1'!$A$8</f>
        <v>XINGANG*</v>
      </c>
      <c r="E25" s="26" t="s">
        <v>269</v>
      </c>
      <c r="F25" s="25" t="str">
        <v>НОВОСИБИРСК</v>
      </c>
      <c r="G25" s="25" t="str">
        <f>'Table 1'!$D$8</f>
        <v>$1 650</v>
      </c>
      <c r="H25" s="25" t="str">
        <f>'Table 1'!B16</f>
        <v>152 000₽</v>
      </c>
    </row>
    <row r="26" spans="1:8" ht="14" x14ac:dyDescent="0.15">
      <c r="A26" s="26" t="s">
        <v>265</v>
      </c>
      <c r="B26" s="26" t="s">
        <v>266</v>
      </c>
      <c r="C26" s="25" t="str">
        <f t="shared" si="0"/>
        <v>20' &lt; 24тонн</v>
      </c>
      <c r="D26" s="25" t="str">
        <f>'Table 1'!$A$8</f>
        <v>XINGANG*</v>
      </c>
      <c r="E26" s="26" t="s">
        <v>269</v>
      </c>
      <c r="F26" s="25" t="str">
        <v>САНКТ-ПЕТЕРБУРГ</v>
      </c>
      <c r="G26" s="25" t="str">
        <f>'Table 1'!$D$8</f>
        <v>$1 650</v>
      </c>
      <c r="H26" s="25" t="str">
        <f>'Table 1'!B17</f>
        <v>176 000₽</v>
      </c>
    </row>
    <row r="27" spans="1:8" ht="14" x14ac:dyDescent="0.15">
      <c r="A27" s="26" t="s">
        <v>265</v>
      </c>
      <c r="B27" s="26" t="s">
        <v>266</v>
      </c>
      <c r="C27" s="25" t="str">
        <f t="shared" si="0"/>
        <v>20' &lt; 24тонн</v>
      </c>
      <c r="D27" s="25" t="str">
        <f>'Table 1'!$A$8</f>
        <v>XINGANG*</v>
      </c>
      <c r="E27" s="26" t="s">
        <v>269</v>
      </c>
      <c r="F27" s="25" t="str">
        <v>ТОЛЬЯТТИ</v>
      </c>
      <c r="G27" s="25" t="str">
        <f>'Table 1'!$D$8</f>
        <v>$1 650</v>
      </c>
      <c r="H27" s="25" t="str">
        <f>'Table 1'!B18</f>
        <v>187 000₽</v>
      </c>
    </row>
    <row r="28" spans="1:8" ht="14" x14ac:dyDescent="0.15">
      <c r="A28" s="26" t="s">
        <v>265</v>
      </c>
      <c r="B28" s="26" t="s">
        <v>266</v>
      </c>
      <c r="C28" s="25" t="str">
        <f t="shared" si="0"/>
        <v>20' &lt; 24тонн</v>
      </c>
      <c r="D28" s="25" t="str">
        <f>'Table 1'!$A$8</f>
        <v>XINGANG*</v>
      </c>
      <c r="E28" s="26" t="s">
        <v>269</v>
      </c>
      <c r="F28" s="25" t="str">
        <v>КРАСНОЯРСК</v>
      </c>
      <c r="G28" s="25" t="str">
        <f>'Table 1'!$D$8</f>
        <v>$1 650</v>
      </c>
      <c r="H28" s="25" t="str">
        <f>'Table 1'!B19</f>
        <v>157 000₽</v>
      </c>
    </row>
    <row r="29" spans="1:8" ht="14" x14ac:dyDescent="0.15">
      <c r="A29" s="26" t="s">
        <v>265</v>
      </c>
      <c r="B29" s="26" t="s">
        <v>266</v>
      </c>
      <c r="C29" s="25" t="str">
        <f t="shared" si="0"/>
        <v>20' &lt; 24тонн</v>
      </c>
      <c r="D29" s="25" t="str">
        <f>'Table 1'!$A$9</f>
        <v>DALIAN*</v>
      </c>
      <c r="E29" s="26" t="s">
        <v>269</v>
      </c>
      <c r="F29" s="25" t="str">
        <v>РОСТОВ-НА-ДОНУ*</v>
      </c>
      <c r="G29" s="25" t="str">
        <f>'Table 1'!$D$8</f>
        <v>$1 650</v>
      </c>
      <c r="H29" s="25" t="str">
        <f>'Table 1'!B20</f>
        <v>199 000₽</v>
      </c>
    </row>
    <row r="30" spans="1:8" ht="14" x14ac:dyDescent="0.15">
      <c r="A30" s="26" t="s">
        <v>265</v>
      </c>
      <c r="B30" s="26" t="s">
        <v>266</v>
      </c>
      <c r="C30" s="25" t="str">
        <f t="shared" si="0"/>
        <v>20' &lt; 24тонн</v>
      </c>
      <c r="D30" s="25" t="str">
        <f>'Table 1'!$A$9</f>
        <v>DALIAN*</v>
      </c>
      <c r="E30" s="26" t="s">
        <v>269</v>
      </c>
      <c r="F30" s="25" t="str" cm="1">
        <f t="array" ref="F30:F36">'Table 1'!A14:A20</f>
        <v>МОСКВА</v>
      </c>
      <c r="G30" s="25" t="str">
        <f>'Table 1'!$D$9</f>
        <v>$1 650</v>
      </c>
      <c r="H30" s="25" t="str">
        <f>'Table 1'!B14</f>
        <v>165 000₽</v>
      </c>
    </row>
    <row r="31" spans="1:8" ht="14" x14ac:dyDescent="0.15">
      <c r="A31" s="26" t="s">
        <v>265</v>
      </c>
      <c r="B31" s="26" t="s">
        <v>266</v>
      </c>
      <c r="C31" s="25" t="str">
        <f t="shared" si="0"/>
        <v>20' &lt; 24тонн</v>
      </c>
      <c r="D31" s="25" t="str">
        <f>'Table 1'!$A$9</f>
        <v>DALIAN*</v>
      </c>
      <c r="E31" s="26" t="s">
        <v>269</v>
      </c>
      <c r="F31" s="25" t="str">
        <v>ЕКАТЕРИНБУРГ</v>
      </c>
      <c r="G31" s="25" t="str">
        <f>'Table 1'!$D$9</f>
        <v>$1 650</v>
      </c>
      <c r="H31" s="25" t="str">
        <f>'Table 1'!B15</f>
        <v>185 000₽</v>
      </c>
    </row>
    <row r="32" spans="1:8" ht="14" x14ac:dyDescent="0.15">
      <c r="A32" s="26" t="s">
        <v>265</v>
      </c>
      <c r="B32" s="26" t="s">
        <v>266</v>
      </c>
      <c r="C32" s="25" t="str">
        <f t="shared" si="0"/>
        <v>20' &lt; 24тонн</v>
      </c>
      <c r="D32" s="25" t="str">
        <f>'Table 1'!$A$9</f>
        <v>DALIAN*</v>
      </c>
      <c r="E32" s="26" t="s">
        <v>269</v>
      </c>
      <c r="F32" s="25" t="str">
        <v>НОВОСИБИРСК</v>
      </c>
      <c r="G32" s="25" t="str">
        <f>'Table 1'!$D$9</f>
        <v>$1 650</v>
      </c>
      <c r="H32" s="25" t="str">
        <f>'Table 1'!B16</f>
        <v>152 000₽</v>
      </c>
    </row>
    <row r="33" spans="1:9" ht="14" x14ac:dyDescent="0.15">
      <c r="A33" s="26" t="s">
        <v>265</v>
      </c>
      <c r="B33" s="26" t="s">
        <v>266</v>
      </c>
      <c r="C33" s="25" t="str">
        <f t="shared" si="0"/>
        <v>20' &lt; 24тонн</v>
      </c>
      <c r="D33" s="25" t="str">
        <f>'Table 1'!$A$9</f>
        <v>DALIAN*</v>
      </c>
      <c r="E33" s="26" t="s">
        <v>269</v>
      </c>
      <c r="F33" s="25" t="str">
        <v>САНКТ-ПЕТЕРБУРГ</v>
      </c>
      <c r="G33" s="25" t="str">
        <f>'Table 1'!$D$9</f>
        <v>$1 650</v>
      </c>
      <c r="H33" s="25" t="str">
        <f>'Table 1'!B17</f>
        <v>176 000₽</v>
      </c>
    </row>
    <row r="34" spans="1:9" ht="14" x14ac:dyDescent="0.15">
      <c r="A34" s="26" t="s">
        <v>265</v>
      </c>
      <c r="B34" s="26" t="s">
        <v>266</v>
      </c>
      <c r="C34" s="25" t="str">
        <f t="shared" si="0"/>
        <v>20' &lt; 24тонн</v>
      </c>
      <c r="D34" s="25" t="str">
        <f>'Table 1'!$A$9</f>
        <v>DALIAN*</v>
      </c>
      <c r="E34" s="26" t="s">
        <v>269</v>
      </c>
      <c r="F34" s="25" t="str">
        <v>ТОЛЬЯТТИ</v>
      </c>
      <c r="G34" s="25" t="str">
        <f>'Table 1'!$D$9</f>
        <v>$1 650</v>
      </c>
      <c r="H34" s="25" t="str">
        <f>'Table 1'!B18</f>
        <v>187 000₽</v>
      </c>
    </row>
    <row r="35" spans="1:9" ht="14" x14ac:dyDescent="0.15">
      <c r="A35" s="26" t="s">
        <v>265</v>
      </c>
      <c r="B35" s="26" t="s">
        <v>266</v>
      </c>
      <c r="C35" s="25" t="str">
        <f t="shared" si="0"/>
        <v>20' &lt; 24тонн</v>
      </c>
      <c r="D35" s="25" t="str">
        <f>'Table 1'!$A$9</f>
        <v>DALIAN*</v>
      </c>
      <c r="E35" s="26" t="s">
        <v>269</v>
      </c>
      <c r="F35" s="25" t="str">
        <v>КРАСНОЯРСК</v>
      </c>
      <c r="G35" s="25" t="str">
        <f>'Table 1'!$D$9</f>
        <v>$1 650</v>
      </c>
      <c r="H35" s="25" t="str">
        <f>'Table 1'!B19</f>
        <v>157 000₽</v>
      </c>
    </row>
    <row r="36" spans="1:9" ht="14" x14ac:dyDescent="0.15">
      <c r="A36" s="26" t="s">
        <v>265</v>
      </c>
      <c r="B36" s="26" t="s">
        <v>266</v>
      </c>
      <c r="C36" s="25" t="str">
        <f t="shared" si="0"/>
        <v>20' &lt; 24тонн</v>
      </c>
      <c r="D36" s="25" t="str">
        <f>'Table 1'!$A$9</f>
        <v>DALIAN*</v>
      </c>
      <c r="E36" s="26" t="s">
        <v>269</v>
      </c>
      <c r="F36" s="25" t="str">
        <v>РОСТОВ-НА-ДОНУ*</v>
      </c>
      <c r="G36" s="25" t="str">
        <f>'Table 1'!$D$9</f>
        <v>$1 650</v>
      </c>
      <c r="H36" s="25" t="str">
        <f>'Table 1'!B20</f>
        <v>199 000₽</v>
      </c>
    </row>
    <row r="37" spans="1:9" ht="14" x14ac:dyDescent="0.15">
      <c r="A37" s="26" t="s">
        <v>265</v>
      </c>
      <c r="B37" s="26" t="s">
        <v>266</v>
      </c>
      <c r="C37" s="25" t="str">
        <f t="shared" si="0"/>
        <v>20' &lt; 24тонн</v>
      </c>
      <c r="D37" s="25" t="str">
        <f>'Table 1'!$A$10</f>
        <v>NANSHA*</v>
      </c>
      <c r="E37" s="26" t="s">
        <v>269</v>
      </c>
      <c r="F37" s="25" t="str" cm="1">
        <f t="array" ref="F37:F43">'Table 1'!A14:A20</f>
        <v>МОСКВА</v>
      </c>
      <c r="G37" s="25" t="str">
        <f>'Table 1'!$D$10</f>
        <v>$1 800</v>
      </c>
      <c r="H37" s="25" t="str">
        <f>'Table 1'!B14</f>
        <v>165 000₽</v>
      </c>
    </row>
    <row r="38" spans="1:9" ht="14" x14ac:dyDescent="0.15">
      <c r="A38" s="26" t="s">
        <v>265</v>
      </c>
      <c r="B38" s="26" t="s">
        <v>266</v>
      </c>
      <c r="C38" s="25" t="str">
        <f t="shared" si="0"/>
        <v>20' &lt; 24тонн</v>
      </c>
      <c r="D38" s="25" t="str">
        <f>'Table 1'!$A$10</f>
        <v>NANSHA*</v>
      </c>
      <c r="E38" s="26" t="s">
        <v>269</v>
      </c>
      <c r="F38" s="25" t="str">
        <v>ЕКАТЕРИНБУРГ</v>
      </c>
      <c r="G38" s="25" t="str">
        <f>'Table 1'!$D$10</f>
        <v>$1 800</v>
      </c>
      <c r="H38" s="25" t="str">
        <f>'Table 1'!B15</f>
        <v>185 000₽</v>
      </c>
    </row>
    <row r="39" spans="1:9" ht="14" x14ac:dyDescent="0.15">
      <c r="A39" s="26" t="s">
        <v>265</v>
      </c>
      <c r="B39" s="26" t="s">
        <v>266</v>
      </c>
      <c r="C39" s="25" t="str">
        <f t="shared" si="0"/>
        <v>20' &lt; 24тонн</v>
      </c>
      <c r="D39" s="25" t="str">
        <f>'Table 1'!$A$10</f>
        <v>NANSHA*</v>
      </c>
      <c r="E39" s="26" t="s">
        <v>269</v>
      </c>
      <c r="F39" s="25" t="str">
        <v>НОВОСИБИРСК</v>
      </c>
      <c r="G39" s="25" t="str">
        <f>'Table 1'!$D$10</f>
        <v>$1 800</v>
      </c>
      <c r="H39" s="25" t="str">
        <f>'Table 1'!B16</f>
        <v>152 000₽</v>
      </c>
    </row>
    <row r="40" spans="1:9" ht="14" x14ac:dyDescent="0.15">
      <c r="A40" s="26" t="s">
        <v>265</v>
      </c>
      <c r="B40" s="26" t="s">
        <v>266</v>
      </c>
      <c r="C40" s="25" t="str">
        <f t="shared" si="0"/>
        <v>20' &lt; 24тонн</v>
      </c>
      <c r="D40" s="25" t="str">
        <f>'Table 1'!$A$10</f>
        <v>NANSHA*</v>
      </c>
      <c r="E40" s="26" t="s">
        <v>269</v>
      </c>
      <c r="F40" s="25" t="str">
        <v>САНКТ-ПЕТЕРБУРГ</v>
      </c>
      <c r="G40" s="25" t="str">
        <f>'Table 1'!$D$10</f>
        <v>$1 800</v>
      </c>
      <c r="H40" s="25" t="str">
        <f>'Table 1'!B17</f>
        <v>176 000₽</v>
      </c>
    </row>
    <row r="41" spans="1:9" ht="14" x14ac:dyDescent="0.15">
      <c r="A41" s="26" t="s">
        <v>265</v>
      </c>
      <c r="B41" s="26" t="s">
        <v>266</v>
      </c>
      <c r="C41" s="25" t="str">
        <f t="shared" si="0"/>
        <v>20' &lt; 24тонн</v>
      </c>
      <c r="D41" s="25" t="str">
        <f>'Table 1'!$A$10</f>
        <v>NANSHA*</v>
      </c>
      <c r="E41" s="26" t="s">
        <v>269</v>
      </c>
      <c r="F41" s="25" t="str">
        <v>ТОЛЬЯТТИ</v>
      </c>
      <c r="G41" s="25" t="str">
        <f>'Table 1'!$D$10</f>
        <v>$1 800</v>
      </c>
      <c r="H41" s="25" t="str">
        <f>'Table 1'!B18</f>
        <v>187 000₽</v>
      </c>
    </row>
    <row r="42" spans="1:9" ht="14" x14ac:dyDescent="0.15">
      <c r="A42" s="26" t="s">
        <v>265</v>
      </c>
      <c r="B42" s="26" t="s">
        <v>266</v>
      </c>
      <c r="C42" s="25" t="str">
        <f t="shared" si="0"/>
        <v>20' &lt; 24тонн</v>
      </c>
      <c r="D42" s="25" t="str">
        <f>'Table 1'!$A$10</f>
        <v>NANSHA*</v>
      </c>
      <c r="E42" s="26" t="s">
        <v>269</v>
      </c>
      <c r="F42" s="25" t="str">
        <v>КРАСНОЯРСК</v>
      </c>
      <c r="G42" s="25" t="str">
        <f>'Table 1'!$D$10</f>
        <v>$1 800</v>
      </c>
      <c r="H42" s="25" t="str">
        <f>'Table 1'!B19</f>
        <v>157 000₽</v>
      </c>
    </row>
    <row r="43" spans="1:9" ht="14" x14ac:dyDescent="0.15">
      <c r="A43" s="26" t="s">
        <v>265</v>
      </c>
      <c r="B43" s="26" t="s">
        <v>266</v>
      </c>
      <c r="C43" s="25" t="str">
        <f t="shared" si="0"/>
        <v>20' &lt; 24тонн</v>
      </c>
      <c r="D43" s="25" t="str">
        <f>'Table 1'!$A$10</f>
        <v>NANSHA*</v>
      </c>
      <c r="E43" s="26" t="s">
        <v>269</v>
      </c>
      <c r="F43" s="25" t="str">
        <v>РОСТОВ-НА-ДОНУ*</v>
      </c>
      <c r="G43" s="25" t="str">
        <f>'Table 1'!$D$10</f>
        <v>$1 800</v>
      </c>
      <c r="H43" s="25" t="str">
        <f>'Table 1'!B20</f>
        <v>199 000₽</v>
      </c>
    </row>
    <row r="44" spans="1:9" ht="14" x14ac:dyDescent="0.15">
      <c r="A44" s="26" t="s">
        <v>265</v>
      </c>
      <c r="B44" s="26" t="s">
        <v>266</v>
      </c>
      <c r="C44" s="25" t="str">
        <f>'Table 1'!$C$13</f>
        <v>20' &gt; 24 тонн</v>
      </c>
      <c r="D44" s="25" t="str">
        <f>'Table 1'!$A$5</f>
        <v>NINGBO</v>
      </c>
      <c r="E44" s="26" t="s">
        <v>269</v>
      </c>
      <c r="F44" s="25" t="str">
        <f>'Table 1'!A14</f>
        <v>МОСКВА</v>
      </c>
      <c r="G44" s="25" t="str">
        <f>'Table 1'!$D$5</f>
        <v>$1 150</v>
      </c>
      <c r="H44" s="25" t="str" cm="1">
        <f t="array" ref="H44:I44">'Table 1'!C14:D14</f>
        <v>190 000₽</v>
      </c>
      <c r="I44" s="25">
        <v>0</v>
      </c>
    </row>
    <row r="45" spans="1:9" ht="14" x14ac:dyDescent="0.15">
      <c r="A45" s="26" t="s">
        <v>265</v>
      </c>
      <c r="B45" s="26" t="s">
        <v>266</v>
      </c>
      <c r="C45" s="25" t="str">
        <f>'Table 1'!$C$13</f>
        <v>20' &gt; 24 тонн</v>
      </c>
      <c r="D45" s="25" t="str">
        <f>'Table 1'!$A$5</f>
        <v>NINGBO</v>
      </c>
      <c r="E45" s="26" t="s">
        <v>269</v>
      </c>
      <c r="F45" s="25" t="str">
        <f>'Table 1'!A15</f>
        <v>ЕКАТЕРИНБУРГ</v>
      </c>
      <c r="H45" s="25" t="str" cm="1">
        <f t="array" ref="H45:I45">'Table 1'!C15:D15</f>
        <v>208 000₽</v>
      </c>
      <c r="I45" s="25">
        <v>0</v>
      </c>
    </row>
    <row r="46" spans="1:9" ht="14" x14ac:dyDescent="0.15">
      <c r="A46" s="26" t="s">
        <v>265</v>
      </c>
      <c r="B46" s="26" t="s">
        <v>266</v>
      </c>
      <c r="C46" s="25" t="str">
        <f>'Table 1'!$C$13</f>
        <v>20' &gt; 24 тонн</v>
      </c>
      <c r="D46" s="25" t="str">
        <f>'Table 1'!$A$5</f>
        <v>NINGBO</v>
      </c>
      <c r="E46" s="26" t="s">
        <v>269</v>
      </c>
      <c r="F46" s="25" t="str">
        <f>'Table 1'!A16</f>
        <v>НОВОСИБИРСК</v>
      </c>
      <c r="H46" s="25" t="str" cm="1">
        <f t="array" ref="H46:I46">'Table 1'!C16:D16</f>
        <v>172 000₽</v>
      </c>
      <c r="I46" s="25">
        <v>0</v>
      </c>
    </row>
    <row r="47" spans="1:9" ht="14" x14ac:dyDescent="0.15">
      <c r="A47" s="26" t="s">
        <v>265</v>
      </c>
      <c r="B47" s="26" t="s">
        <v>266</v>
      </c>
      <c r="C47" s="25" t="str">
        <f>'Table 1'!$C$13</f>
        <v>20' &gt; 24 тонн</v>
      </c>
      <c r="D47" s="25" t="str">
        <f>'Table 1'!$A$5</f>
        <v>NINGBO</v>
      </c>
      <c r="E47" s="26" t="s">
        <v>269</v>
      </c>
      <c r="F47" s="25" t="str">
        <f>'Table 1'!A17</f>
        <v>САНКТ-ПЕТЕРБУРГ</v>
      </c>
      <c r="H47" s="25" t="str" cm="1">
        <f t="array" ref="H47:I47">'Table 1'!C17:D17</f>
        <v>202 000₽</v>
      </c>
      <c r="I47" s="25">
        <v>0</v>
      </c>
    </row>
    <row r="48" spans="1:9" ht="14" x14ac:dyDescent="0.15">
      <c r="A48" s="26" t="s">
        <v>265</v>
      </c>
      <c r="B48" s="26" t="s">
        <v>266</v>
      </c>
      <c r="C48" s="25" t="str">
        <f>'Table 1'!$C$13</f>
        <v>20' &gt; 24 тонн</v>
      </c>
      <c r="D48" s="25" t="str">
        <f>'Table 1'!$A$5</f>
        <v>NINGBO</v>
      </c>
      <c r="E48" s="26" t="s">
        <v>269</v>
      </c>
      <c r="F48" s="25" t="str">
        <f>'Table 1'!A18</f>
        <v>ТОЛЬЯТТИ</v>
      </c>
      <c r="H48" s="25" t="str" cm="1">
        <f t="array" ref="H48:I48">'Table 1'!C18:D18</f>
        <v>211 000₽</v>
      </c>
      <c r="I48" s="25">
        <v>0</v>
      </c>
    </row>
    <row r="49" spans="1:9" ht="14" x14ac:dyDescent="0.15">
      <c r="A49" s="26" t="s">
        <v>265</v>
      </c>
      <c r="B49" s="26" t="s">
        <v>266</v>
      </c>
      <c r="C49" s="25" t="str">
        <f>'Table 1'!$C$13</f>
        <v>20' &gt; 24 тонн</v>
      </c>
      <c r="D49" s="25" t="str">
        <f>'Table 1'!$A$5</f>
        <v>NINGBO</v>
      </c>
      <c r="E49" s="26" t="s">
        <v>269</v>
      </c>
      <c r="F49" s="25" t="str">
        <f>'Table 1'!A19</f>
        <v>КРАСНОЯРСК</v>
      </c>
      <c r="H49" s="25" t="str" cm="1">
        <f t="array" ref="H49:I49">'Table 1'!C19:D19</f>
        <v>176 000₽</v>
      </c>
      <c r="I49" s="25">
        <v>0</v>
      </c>
    </row>
    <row r="50" spans="1:9" ht="14" x14ac:dyDescent="0.15">
      <c r="A50" s="26" t="s">
        <v>265</v>
      </c>
      <c r="B50" s="26" t="s">
        <v>266</v>
      </c>
      <c r="C50" s="25" t="str">
        <f>'Table 1'!$C$13</f>
        <v>20' &gt; 24 тонн</v>
      </c>
      <c r="D50" s="25" t="str">
        <f>'Table 1'!$A$5</f>
        <v>NINGBO</v>
      </c>
      <c r="E50" s="26" t="s">
        <v>269</v>
      </c>
      <c r="F50" s="25" t="str">
        <f>'Table 1'!A20</f>
        <v>РОСТОВ-НА-ДОНУ*</v>
      </c>
      <c r="H50" s="25" t="str" cm="1">
        <f t="array" ref="H50:I50">'Table 1'!C20:D20</f>
        <v>226 000₽</v>
      </c>
      <c r="I50" s="25">
        <v>0</v>
      </c>
    </row>
    <row r="51" spans="1:9" ht="14" x14ac:dyDescent="0.15">
      <c r="A51" s="26" t="s">
        <v>265</v>
      </c>
      <c r="B51" s="26" t="s">
        <v>266</v>
      </c>
      <c r="C51" s="25" t="str">
        <f>'Table 1'!$C$13</f>
        <v>20' &gt; 24 тонн</v>
      </c>
      <c r="D51" s="25" t="str">
        <f>'Table 1'!$A$6</f>
        <v>SHANGHAI</v>
      </c>
      <c r="E51" s="26" t="s">
        <v>269</v>
      </c>
      <c r="F51" s="25" t="str">
        <f>'Table 1'!A14</f>
        <v>МОСКВА</v>
      </c>
      <c r="H51" s="25" cm="1">
        <f t="array" ref="H51:I51">'Table 1'!C21:D21</f>
        <v>0</v>
      </c>
      <c r="I51" s="25">
        <v>0</v>
      </c>
    </row>
    <row r="52" spans="1:9" ht="14" x14ac:dyDescent="0.15">
      <c r="A52" s="26" t="s">
        <v>265</v>
      </c>
      <c r="B52" s="26" t="s">
        <v>266</v>
      </c>
      <c r="C52" s="25" t="str">
        <f>'Table 1'!$C$13</f>
        <v>20' &gt; 24 тонн</v>
      </c>
      <c r="D52" s="25" t="str">
        <f>'Table 1'!$A$6</f>
        <v>SHANGHAI</v>
      </c>
      <c r="E52" s="26" t="s">
        <v>269</v>
      </c>
      <c r="F52" s="25" t="str">
        <f>'Table 1'!A15</f>
        <v>ЕКАТЕРИНБУРГ</v>
      </c>
      <c r="H52" s="25" cm="1">
        <f t="array" ref="H52:I52">'Table 1'!C22:D22</f>
        <v>0</v>
      </c>
      <c r="I52" s="25">
        <v>0</v>
      </c>
    </row>
    <row r="53" spans="1:9" ht="14" x14ac:dyDescent="0.15">
      <c r="A53" s="26" t="s">
        <v>265</v>
      </c>
      <c r="B53" s="26" t="s">
        <v>266</v>
      </c>
      <c r="C53" s="25" t="str">
        <f>'Table 1'!$C$13</f>
        <v>20' &gt; 24 тонн</v>
      </c>
      <c r="D53" s="25" t="str">
        <f>'Table 1'!$A$6</f>
        <v>SHANGHAI</v>
      </c>
      <c r="E53" s="26" t="s">
        <v>269</v>
      </c>
      <c r="F53" s="25" t="str">
        <f>'Table 1'!A16</f>
        <v>НОВОСИБИРСК</v>
      </c>
    </row>
    <row r="54" spans="1:9" ht="14" x14ac:dyDescent="0.15">
      <c r="A54" s="26" t="s">
        <v>265</v>
      </c>
      <c r="B54" s="26" t="s">
        <v>266</v>
      </c>
      <c r="C54" s="25" t="str">
        <f>'Table 1'!$C$13</f>
        <v>20' &gt; 24 тонн</v>
      </c>
      <c r="D54" s="25" t="str">
        <f>'Table 1'!$A$6</f>
        <v>SHANGHAI</v>
      </c>
      <c r="E54" s="26" t="s">
        <v>269</v>
      </c>
      <c r="F54" s="25" t="str">
        <f>'Table 1'!A17</f>
        <v>САНКТ-ПЕТЕРБУРГ</v>
      </c>
    </row>
    <row r="55" spans="1:9" ht="14" x14ac:dyDescent="0.15">
      <c r="A55" s="26" t="s">
        <v>265</v>
      </c>
      <c r="B55" s="26" t="s">
        <v>266</v>
      </c>
      <c r="C55" s="25" t="str">
        <f>'Table 1'!$C$13</f>
        <v>20' &gt; 24 тонн</v>
      </c>
      <c r="D55" s="25" t="str">
        <f>'Table 1'!$A$6</f>
        <v>SHANGHAI</v>
      </c>
      <c r="E55" s="26" t="s">
        <v>269</v>
      </c>
      <c r="F55" s="25" t="str">
        <f>'Table 1'!A18</f>
        <v>ТОЛЬЯТТИ</v>
      </c>
    </row>
    <row r="56" spans="1:9" ht="14" x14ac:dyDescent="0.15">
      <c r="A56" s="26" t="s">
        <v>265</v>
      </c>
      <c r="B56" s="26" t="s">
        <v>266</v>
      </c>
      <c r="C56" s="25" t="str">
        <f>'Table 1'!$C$13</f>
        <v>20' &gt; 24 тонн</v>
      </c>
      <c r="D56" s="25" t="str">
        <f>'Table 1'!$A$6</f>
        <v>SHANGHAI</v>
      </c>
      <c r="E56" s="26" t="s">
        <v>269</v>
      </c>
      <c r="F56" s="25" t="str">
        <f>'Table 1'!A19</f>
        <v>КРАСНОЯРСК</v>
      </c>
    </row>
    <row r="57" spans="1:9" ht="14" x14ac:dyDescent="0.15">
      <c r="A57" s="26" t="s">
        <v>265</v>
      </c>
      <c r="B57" s="26" t="s">
        <v>266</v>
      </c>
      <c r="C57" s="25" t="str">
        <f>'Table 1'!$C$13</f>
        <v>20' &gt; 24 тонн</v>
      </c>
      <c r="D57" s="25" t="str">
        <f>'Table 1'!$A$6</f>
        <v>SHANGHAI</v>
      </c>
      <c r="E57" s="26" t="s">
        <v>269</v>
      </c>
      <c r="F57" s="25" t="str">
        <f>'Table 1'!A20</f>
        <v>РОСТОВ-НА-ДОНУ*</v>
      </c>
    </row>
    <row r="58" spans="1:9" ht="14" x14ac:dyDescent="0.15">
      <c r="A58" s="26" t="s">
        <v>265</v>
      </c>
      <c r="B58" s="26" t="s">
        <v>266</v>
      </c>
      <c r="C58" s="25" t="str">
        <f>'Table 1'!$C$13</f>
        <v>20' &gt; 24 тонн</v>
      </c>
      <c r="D58" s="25" t="str">
        <f>'Table 1'!$A$7</f>
        <v>RIZHAO</v>
      </c>
      <c r="E58" s="26" t="s">
        <v>269</v>
      </c>
      <c r="F58" s="25" t="str">
        <f>'Table 1'!A14</f>
        <v>МОСКВА</v>
      </c>
    </row>
    <row r="59" spans="1:9" ht="14" x14ac:dyDescent="0.15">
      <c r="A59" s="26" t="s">
        <v>265</v>
      </c>
      <c r="B59" s="26" t="s">
        <v>266</v>
      </c>
      <c r="C59" s="25" t="str">
        <f>'Table 1'!$C$13</f>
        <v>20' &gt; 24 тонн</v>
      </c>
      <c r="D59" s="25" t="str">
        <f>'Table 1'!$A$7</f>
        <v>RIZHAO</v>
      </c>
      <c r="E59" s="26" t="s">
        <v>269</v>
      </c>
      <c r="F59" s="25" t="str">
        <f>'Table 1'!A15</f>
        <v>ЕКАТЕРИНБУРГ</v>
      </c>
    </row>
    <row r="60" spans="1:9" ht="14" x14ac:dyDescent="0.15">
      <c r="A60" s="26" t="s">
        <v>265</v>
      </c>
      <c r="B60" s="26" t="s">
        <v>266</v>
      </c>
      <c r="C60" s="25" t="str">
        <f>'Table 1'!$C$13</f>
        <v>20' &gt; 24 тонн</v>
      </c>
      <c r="D60" s="25" t="str">
        <f>'Table 1'!$A$7</f>
        <v>RIZHAO</v>
      </c>
      <c r="E60" s="26" t="s">
        <v>269</v>
      </c>
      <c r="F60" s="25" t="str">
        <f>'Table 1'!A16</f>
        <v>НОВОСИБИРСК</v>
      </c>
    </row>
    <row r="61" spans="1:9" ht="14" x14ac:dyDescent="0.15">
      <c r="A61" s="26" t="s">
        <v>265</v>
      </c>
      <c r="B61" s="26" t="s">
        <v>266</v>
      </c>
      <c r="C61" s="25" t="str">
        <f>'Table 1'!$C$13</f>
        <v>20' &gt; 24 тонн</v>
      </c>
      <c r="D61" s="25" t="str">
        <f>'Table 1'!$A$7</f>
        <v>RIZHAO</v>
      </c>
      <c r="E61" s="26" t="s">
        <v>269</v>
      </c>
      <c r="F61" s="25" t="str">
        <f>'Table 1'!A17</f>
        <v>САНКТ-ПЕТЕРБУРГ</v>
      </c>
    </row>
    <row r="62" spans="1:9" ht="14" x14ac:dyDescent="0.15">
      <c r="A62" s="26" t="s">
        <v>265</v>
      </c>
      <c r="B62" s="26" t="s">
        <v>266</v>
      </c>
      <c r="C62" s="25" t="str">
        <f>'Table 1'!$C$13</f>
        <v>20' &gt; 24 тонн</v>
      </c>
      <c r="D62" s="25" t="str">
        <f>'Table 1'!$A$7</f>
        <v>RIZHAO</v>
      </c>
      <c r="E62" s="26" t="s">
        <v>269</v>
      </c>
      <c r="F62" s="25" t="str">
        <f>'Table 1'!A18</f>
        <v>ТОЛЬЯТТИ</v>
      </c>
    </row>
    <row r="63" spans="1:9" ht="14" x14ac:dyDescent="0.15">
      <c r="A63" s="26" t="s">
        <v>265</v>
      </c>
      <c r="B63" s="26" t="s">
        <v>266</v>
      </c>
      <c r="C63" s="25" t="str">
        <f>'Table 1'!$C$13</f>
        <v>20' &gt; 24 тонн</v>
      </c>
      <c r="D63" s="25" t="str">
        <f>'Table 1'!$A$7</f>
        <v>RIZHAO</v>
      </c>
      <c r="E63" s="26" t="s">
        <v>269</v>
      </c>
      <c r="F63" s="25" t="str">
        <f>'Table 1'!A19</f>
        <v>КРАСНОЯРСК</v>
      </c>
    </row>
    <row r="64" spans="1:9" ht="14" x14ac:dyDescent="0.15">
      <c r="A64" s="26" t="s">
        <v>265</v>
      </c>
      <c r="B64" s="26" t="s">
        <v>266</v>
      </c>
      <c r="C64" s="25" t="str">
        <f>'Table 1'!$C$13</f>
        <v>20' &gt; 24 тонн</v>
      </c>
      <c r="D64" s="25" t="str">
        <f>'Table 1'!$A$7</f>
        <v>RIZHAO</v>
      </c>
      <c r="E64" s="26" t="s">
        <v>269</v>
      </c>
      <c r="F64" s="25" t="str">
        <f>'Table 1'!A20</f>
        <v>РОСТОВ-НА-ДОНУ*</v>
      </c>
    </row>
    <row r="65" spans="1:6" ht="14" x14ac:dyDescent="0.15">
      <c r="A65" s="26" t="s">
        <v>265</v>
      </c>
      <c r="B65" s="26" t="s">
        <v>266</v>
      </c>
      <c r="C65" s="25" t="str">
        <f>'Table 1'!$C$13</f>
        <v>20' &gt; 24 тонн</v>
      </c>
      <c r="D65" s="25" t="str">
        <f>'Table 1'!$A$8</f>
        <v>XINGANG*</v>
      </c>
      <c r="E65" s="26" t="s">
        <v>269</v>
      </c>
      <c r="F65" s="25" t="str">
        <f>'Table 1'!A14</f>
        <v>МОСКВА</v>
      </c>
    </row>
    <row r="66" spans="1:6" ht="14" x14ac:dyDescent="0.15">
      <c r="A66" s="26" t="s">
        <v>265</v>
      </c>
      <c r="B66" s="26" t="s">
        <v>266</v>
      </c>
      <c r="C66" s="25" t="str">
        <f>'Table 1'!$C$13</f>
        <v>20' &gt; 24 тонн</v>
      </c>
      <c r="D66" s="25" t="str">
        <f>'Table 1'!$A$8</f>
        <v>XINGANG*</v>
      </c>
      <c r="E66" s="26" t="s">
        <v>269</v>
      </c>
      <c r="F66" s="25" t="str">
        <f>'Table 1'!A15</f>
        <v>ЕКАТЕРИНБУРГ</v>
      </c>
    </row>
    <row r="67" spans="1:6" ht="14" x14ac:dyDescent="0.15">
      <c r="A67" s="26" t="s">
        <v>265</v>
      </c>
      <c r="B67" s="26" t="s">
        <v>266</v>
      </c>
      <c r="C67" s="25" t="str">
        <f>'Table 1'!$C$13</f>
        <v>20' &gt; 24 тонн</v>
      </c>
      <c r="D67" s="25" t="str">
        <f>'Table 1'!$A$8</f>
        <v>XINGANG*</v>
      </c>
      <c r="E67" s="26" t="s">
        <v>269</v>
      </c>
      <c r="F67" s="25" t="str">
        <f>'Table 1'!A16</f>
        <v>НОВОСИБИРСК</v>
      </c>
    </row>
    <row r="68" spans="1:6" ht="14" x14ac:dyDescent="0.15">
      <c r="A68" s="26" t="s">
        <v>265</v>
      </c>
      <c r="B68" s="26" t="s">
        <v>266</v>
      </c>
      <c r="C68" s="25" t="str">
        <f>'Table 1'!$C$13</f>
        <v>20' &gt; 24 тонн</v>
      </c>
      <c r="D68" s="25" t="str">
        <f>'Table 1'!$A$8</f>
        <v>XINGANG*</v>
      </c>
      <c r="E68" s="26" t="s">
        <v>269</v>
      </c>
      <c r="F68" s="25" t="str">
        <f>'Table 1'!A17</f>
        <v>САНКТ-ПЕТЕРБУРГ</v>
      </c>
    </row>
    <row r="69" spans="1:6" ht="14" x14ac:dyDescent="0.15">
      <c r="A69" s="26" t="s">
        <v>265</v>
      </c>
      <c r="B69" s="26" t="s">
        <v>266</v>
      </c>
      <c r="C69" s="25" t="str">
        <f>'Table 1'!$C$13</f>
        <v>20' &gt; 24 тонн</v>
      </c>
      <c r="D69" s="25" t="str">
        <f>'Table 1'!$A$8</f>
        <v>XINGANG*</v>
      </c>
      <c r="E69" s="26" t="s">
        <v>269</v>
      </c>
      <c r="F69" s="25" t="str">
        <f>'Table 1'!A18</f>
        <v>ТОЛЬЯТТИ</v>
      </c>
    </row>
    <row r="70" spans="1:6" ht="14" x14ac:dyDescent="0.15">
      <c r="A70" s="26" t="s">
        <v>265</v>
      </c>
      <c r="B70" s="26" t="s">
        <v>266</v>
      </c>
      <c r="C70" s="25" t="str">
        <f>'Table 1'!$C$13</f>
        <v>20' &gt; 24 тонн</v>
      </c>
      <c r="D70" s="25" t="str">
        <f>'Table 1'!$A$8</f>
        <v>XINGANG*</v>
      </c>
      <c r="E70" s="26" t="s">
        <v>269</v>
      </c>
      <c r="F70" s="25" t="str">
        <f>'Table 1'!A19</f>
        <v>КРАСНОЯРСК</v>
      </c>
    </row>
    <row r="71" spans="1:6" ht="14" x14ac:dyDescent="0.15">
      <c r="A71" s="26" t="s">
        <v>265</v>
      </c>
      <c r="B71" s="26" t="s">
        <v>266</v>
      </c>
      <c r="C71" s="25" t="str">
        <f>'Table 1'!$C$13</f>
        <v>20' &gt; 24 тонн</v>
      </c>
      <c r="D71" s="25" t="str">
        <f>'Table 1'!$A$8</f>
        <v>XINGANG*</v>
      </c>
      <c r="E71" s="26" t="s">
        <v>269</v>
      </c>
      <c r="F71" s="25" t="str">
        <f>'Table 1'!A20</f>
        <v>РОСТОВ-НА-ДОНУ*</v>
      </c>
    </row>
    <row r="72" spans="1:6" ht="14" x14ac:dyDescent="0.15">
      <c r="A72" s="26" t="s">
        <v>265</v>
      </c>
      <c r="B72" s="26" t="s">
        <v>266</v>
      </c>
      <c r="C72" s="25" t="str">
        <f>'Table 1'!$C$13</f>
        <v>20' &gt; 24 тонн</v>
      </c>
      <c r="D72" s="25" t="str">
        <f>'Table 1'!$A$9</f>
        <v>DALIAN*</v>
      </c>
      <c r="E72" s="26" t="s">
        <v>269</v>
      </c>
      <c r="F72" s="25" t="str">
        <f>'Table 1'!A14</f>
        <v>МОСКВА</v>
      </c>
    </row>
    <row r="73" spans="1:6" ht="14" x14ac:dyDescent="0.15">
      <c r="A73" s="26" t="s">
        <v>265</v>
      </c>
      <c r="B73" s="26" t="s">
        <v>266</v>
      </c>
      <c r="C73" s="25" t="str">
        <f>'Table 1'!$C$13</f>
        <v>20' &gt; 24 тонн</v>
      </c>
      <c r="D73" s="25" t="str">
        <f>'Table 1'!$A$9</f>
        <v>DALIAN*</v>
      </c>
      <c r="E73" s="26" t="s">
        <v>269</v>
      </c>
      <c r="F73" s="25" t="str">
        <f>'Table 1'!A15</f>
        <v>ЕКАТЕРИНБУРГ</v>
      </c>
    </row>
    <row r="74" spans="1:6" ht="14" x14ac:dyDescent="0.15">
      <c r="A74" s="26" t="s">
        <v>265</v>
      </c>
      <c r="B74" s="26" t="s">
        <v>266</v>
      </c>
      <c r="C74" s="25" t="str">
        <f>'Table 1'!$C$13</f>
        <v>20' &gt; 24 тонн</v>
      </c>
      <c r="D74" s="25" t="str">
        <f>'Table 1'!$A$9</f>
        <v>DALIAN*</v>
      </c>
      <c r="E74" s="26" t="s">
        <v>269</v>
      </c>
      <c r="F74" s="25" t="str">
        <f>'Table 1'!A16</f>
        <v>НОВОСИБИРСК</v>
      </c>
    </row>
    <row r="75" spans="1:6" ht="14" x14ac:dyDescent="0.15">
      <c r="A75" s="26" t="s">
        <v>265</v>
      </c>
      <c r="B75" s="26" t="s">
        <v>266</v>
      </c>
      <c r="C75" s="25" t="str">
        <f>'Table 1'!$C$13</f>
        <v>20' &gt; 24 тонн</v>
      </c>
      <c r="D75" s="25" t="str">
        <f>'Table 1'!$A$9</f>
        <v>DALIAN*</v>
      </c>
      <c r="E75" s="26" t="s">
        <v>269</v>
      </c>
      <c r="F75" s="25" t="str">
        <f>'Table 1'!A17</f>
        <v>САНКТ-ПЕТЕРБУРГ</v>
      </c>
    </row>
    <row r="76" spans="1:6" ht="14" x14ac:dyDescent="0.15">
      <c r="A76" s="26" t="s">
        <v>265</v>
      </c>
      <c r="B76" s="26" t="s">
        <v>266</v>
      </c>
      <c r="C76" s="25" t="str">
        <f>'Table 1'!$C$13</f>
        <v>20' &gt; 24 тонн</v>
      </c>
      <c r="D76" s="25" t="str">
        <f>'Table 1'!$A$9</f>
        <v>DALIAN*</v>
      </c>
      <c r="E76" s="26" t="s">
        <v>269</v>
      </c>
      <c r="F76" s="25" t="str">
        <f>'Table 1'!A18</f>
        <v>ТОЛЬЯТТИ</v>
      </c>
    </row>
    <row r="77" spans="1:6" ht="14" x14ac:dyDescent="0.15">
      <c r="A77" s="26" t="s">
        <v>265</v>
      </c>
      <c r="B77" s="26" t="s">
        <v>266</v>
      </c>
      <c r="C77" s="25" t="str">
        <f>'Table 1'!$C$13</f>
        <v>20' &gt; 24 тонн</v>
      </c>
      <c r="D77" s="25" t="str">
        <f>'Table 1'!$A$9</f>
        <v>DALIAN*</v>
      </c>
      <c r="E77" s="26" t="s">
        <v>269</v>
      </c>
      <c r="F77" s="25" t="str">
        <f>'Table 1'!A19</f>
        <v>КРАСНОЯРСК</v>
      </c>
    </row>
    <row r="78" spans="1:6" ht="14" x14ac:dyDescent="0.15">
      <c r="A78" s="26" t="s">
        <v>265</v>
      </c>
      <c r="B78" s="26" t="s">
        <v>266</v>
      </c>
      <c r="C78" s="25" t="str">
        <f>'Table 1'!$C$13</f>
        <v>20' &gt; 24 тонн</v>
      </c>
      <c r="D78" s="25" t="str">
        <f>'Table 1'!$A$9</f>
        <v>DALIAN*</v>
      </c>
      <c r="E78" s="26" t="s">
        <v>269</v>
      </c>
      <c r="F78" s="25" t="str">
        <f>'Table 1'!A20</f>
        <v>РОСТОВ-НА-ДОНУ*</v>
      </c>
    </row>
    <row r="79" spans="1:6" ht="14" x14ac:dyDescent="0.15">
      <c r="A79" s="26" t="s">
        <v>265</v>
      </c>
      <c r="B79" s="26" t="s">
        <v>266</v>
      </c>
      <c r="C79" s="25" t="str">
        <f>'Table 1'!$C$13</f>
        <v>20' &gt; 24 тонн</v>
      </c>
      <c r="D79" s="25" t="str">
        <f>'Table 1'!$A$10</f>
        <v>NANSHA*</v>
      </c>
      <c r="E79" s="26" t="s">
        <v>269</v>
      </c>
      <c r="F79" s="25" t="str">
        <f>'Table 1'!A14</f>
        <v>МОСКВА</v>
      </c>
    </row>
    <row r="80" spans="1:6" ht="14" x14ac:dyDescent="0.15">
      <c r="A80" s="26" t="s">
        <v>265</v>
      </c>
      <c r="B80" s="26" t="s">
        <v>266</v>
      </c>
      <c r="C80" s="25" t="str">
        <f>'Table 1'!$C$13</f>
        <v>20' &gt; 24 тонн</v>
      </c>
      <c r="D80" s="25" t="str">
        <f>'Table 1'!$A$10</f>
        <v>NANSHA*</v>
      </c>
      <c r="E80" s="26" t="s">
        <v>269</v>
      </c>
      <c r="F80" s="25" t="str">
        <f>'Table 1'!A15</f>
        <v>ЕКАТЕРИНБУРГ</v>
      </c>
    </row>
    <row r="81" spans="1:6" ht="14" x14ac:dyDescent="0.15">
      <c r="A81" s="26" t="s">
        <v>265</v>
      </c>
      <c r="B81" s="26" t="s">
        <v>266</v>
      </c>
      <c r="C81" s="25" t="str">
        <f>'Table 1'!$C$13</f>
        <v>20' &gt; 24 тонн</v>
      </c>
      <c r="D81" s="25" t="str">
        <f>'Table 1'!$A$10</f>
        <v>NANSHA*</v>
      </c>
      <c r="E81" s="26" t="s">
        <v>269</v>
      </c>
      <c r="F81" s="25" t="str">
        <f>'Table 1'!A16</f>
        <v>НОВОСИБИРСК</v>
      </c>
    </row>
    <row r="82" spans="1:6" ht="14" x14ac:dyDescent="0.15">
      <c r="A82" s="26" t="s">
        <v>265</v>
      </c>
      <c r="B82" s="26" t="s">
        <v>266</v>
      </c>
      <c r="C82" s="25" t="str">
        <f>'Table 1'!$C$13</f>
        <v>20' &gt; 24 тонн</v>
      </c>
      <c r="D82" s="25" t="str">
        <f>'Table 1'!$A$10</f>
        <v>NANSHA*</v>
      </c>
      <c r="E82" s="26" t="s">
        <v>269</v>
      </c>
      <c r="F82" s="25" t="str">
        <f>'Table 1'!A17</f>
        <v>САНКТ-ПЕТЕРБУРГ</v>
      </c>
    </row>
    <row r="83" spans="1:6" ht="14" x14ac:dyDescent="0.15">
      <c r="A83" s="26" t="s">
        <v>265</v>
      </c>
      <c r="B83" s="26" t="s">
        <v>266</v>
      </c>
      <c r="C83" s="25" t="str">
        <f>'Table 1'!$C$13</f>
        <v>20' &gt; 24 тонн</v>
      </c>
      <c r="D83" s="25" t="str">
        <f>'Table 1'!$A$10</f>
        <v>NANSHA*</v>
      </c>
      <c r="E83" s="26" t="s">
        <v>269</v>
      </c>
      <c r="F83" s="25" t="str">
        <f>'Table 1'!A18</f>
        <v>ТОЛЬЯТТИ</v>
      </c>
    </row>
    <row r="84" spans="1:6" ht="14" x14ac:dyDescent="0.15">
      <c r="A84" s="26" t="s">
        <v>265</v>
      </c>
      <c r="B84" s="26" t="s">
        <v>266</v>
      </c>
      <c r="C84" s="25" t="str">
        <f>'Table 1'!$C$13</f>
        <v>20' &gt; 24 тонн</v>
      </c>
      <c r="D84" s="25" t="str">
        <f>'Table 1'!$A$10</f>
        <v>NANSHA*</v>
      </c>
      <c r="E84" s="26" t="s">
        <v>269</v>
      </c>
      <c r="F84" s="25" t="str">
        <f>'Table 1'!A19</f>
        <v>КРАСНОЯРСК</v>
      </c>
    </row>
    <row r="85" spans="1:6" ht="14" x14ac:dyDescent="0.15">
      <c r="A85" s="26" t="s">
        <v>265</v>
      </c>
      <c r="B85" s="26" t="s">
        <v>266</v>
      </c>
      <c r="C85" s="25" t="str">
        <f>'Table 1'!$C$13</f>
        <v>20' &gt; 24 тонн</v>
      </c>
      <c r="D85" s="25" t="str">
        <f>'Table 1'!$A$10</f>
        <v>NANSHA*</v>
      </c>
      <c r="E85" s="26" t="s">
        <v>269</v>
      </c>
      <c r="F85" s="25" t="str">
        <f>'Table 1'!A20</f>
        <v>РОСТОВ-НА-ДОНУ*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для калькулятора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Тимофеева</dc:creator>
  <cp:lastModifiedBy>Microsoft Office User</cp:lastModifiedBy>
  <dcterms:created xsi:type="dcterms:W3CDTF">2025-04-14T17:11:09Z</dcterms:created>
  <dcterms:modified xsi:type="dcterms:W3CDTF">2025-04-22T20:07:32Z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Creator">
    <vt:lpwstr>Acrobat PDFMaker 22 для Word</vt:lpwstr>
  </property>
  <property fmtid="{D5CDD505-2E9C-101B-9397-08002B2CF9AE}" pid="4" name="LastSaved">
    <vt:filetime>2025-04-14T00:00:00Z</vt:filetime>
  </property>
  <property fmtid="{D5CDD505-2E9C-101B-9397-08002B2CF9AE}" pid="5" name="Producer">
    <vt:lpwstr>Adobe PDF Library 22.2.244</vt:lpwstr>
  </property>
  <property fmtid="{D5CDD505-2E9C-101B-9397-08002B2CF9AE}" pid="6" name="SourceModified">
    <vt:lpwstr>D:20250410052012</vt:lpwstr>
  </property>
</Properties>
</file>