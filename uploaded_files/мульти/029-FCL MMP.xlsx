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8"/>
  <workbookPr/>
  <mc:AlternateContent xmlns:mc="http://schemas.openxmlformats.org/markup-compatibility/2006">
    <mc:Choice Requires="x15">
      <x15ac:absPath xmlns:x15ac="http://schemas.microsoft.com/office/spreadsheetml/2010/11/ac" url="/Users/ekaterinabarbasina/Desktop/калькулятор ставок/для корректировок под тарификацию/"/>
    </mc:Choice>
  </mc:AlternateContent>
  <xr:revisionPtr revIDLastSave="0" documentId="13_ncr:1_{9B16A1FD-A3E3-0843-BE98-A0851337A75E}" xr6:coauthVersionLast="47" xr6:coauthVersionMax="47" xr10:uidLastSave="{00000000-0000-0000-0000-000000000000}"/>
  <bookViews>
    <workbookView xWindow="0" yWindow="0" windowWidth="33600" windowHeight="21000" activeTab="1" xr2:uid="{00000000-000D-0000-FFFF-FFFF00000000}"/>
  </bookViews>
  <sheets>
    <sheet name="Sea (FOB)" sheetId="3" r:id="rId1"/>
    <sheet name="Rail (EXW)" sheetId="1" r:id="rId2"/>
    <sheet name="Truck" sheetId="2" r:id="rId3"/>
    <sheet name="Southeast Asia - Russia" sheetId="4" r:id="rId4"/>
    <sheet name="для калькулятора"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C382" i="5" l="1"/>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03" i="5"/>
  <c r="P304" i="5"/>
  <c r="P305" i="5"/>
  <c r="P306" i="5"/>
  <c r="P307" i="5"/>
  <c r="P308" i="5"/>
  <c r="P309" i="5"/>
  <c r="P310" i="5"/>
  <c r="P311"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P340" i="5"/>
  <c r="P341" i="5"/>
  <c r="P342" i="5"/>
  <c r="P343" i="5"/>
  <c r="P344" i="5"/>
  <c r="P345" i="5"/>
  <c r="P346" i="5"/>
  <c r="P347" i="5"/>
  <c r="P348" i="5"/>
  <c r="P349" i="5"/>
  <c r="P350" i="5"/>
  <c r="P351" i="5"/>
  <c r="P352" i="5"/>
  <c r="P353" i="5"/>
  <c r="P354" i="5"/>
  <c r="P355" i="5"/>
  <c r="P356" i="5"/>
  <c r="P357" i="5"/>
  <c r="P358" i="5"/>
  <c r="P359" i="5"/>
  <c r="P360" i="5"/>
  <c r="P361" i="5"/>
  <c r="P362" i="5"/>
  <c r="P363" i="5"/>
  <c r="P364" i="5"/>
  <c r="P365" i="5"/>
  <c r="P366" i="5"/>
  <c r="P367" i="5"/>
  <c r="P368" i="5"/>
  <c r="P369" i="5"/>
  <c r="P370" i="5"/>
  <c r="P371" i="5"/>
  <c r="P372" i="5"/>
  <c r="P373" i="5"/>
  <c r="P374" i="5"/>
  <c r="P375" i="5"/>
  <c r="P376" i="5"/>
  <c r="P377" i="5"/>
  <c r="P378" i="5"/>
  <c r="P379" i="5"/>
  <c r="P380" i="5"/>
  <c r="P381" i="5"/>
  <c r="P382" i="5"/>
  <c r="N304" i="5"/>
  <c r="O304" i="5"/>
  <c r="N305" i="5"/>
  <c r="O305" i="5"/>
  <c r="N306" i="5"/>
  <c r="O306" i="5"/>
  <c r="N307" i="5"/>
  <c r="O307" i="5"/>
  <c r="N308" i="5"/>
  <c r="O308" i="5"/>
  <c r="N309" i="5"/>
  <c r="O309" i="5"/>
  <c r="N310" i="5"/>
  <c r="O310" i="5"/>
  <c r="N311" i="5"/>
  <c r="O311" i="5"/>
  <c r="N312" i="5"/>
  <c r="O312" i="5"/>
  <c r="N313" i="5"/>
  <c r="O313" i="5"/>
  <c r="N314" i="5"/>
  <c r="O314" i="5"/>
  <c r="N315" i="5"/>
  <c r="O315" i="5"/>
  <c r="N316" i="5"/>
  <c r="O316" i="5"/>
  <c r="N317" i="5"/>
  <c r="O317" i="5"/>
  <c r="N318" i="5"/>
  <c r="O318" i="5"/>
  <c r="N319" i="5"/>
  <c r="O319" i="5"/>
  <c r="N320" i="5"/>
  <c r="O320" i="5"/>
  <c r="N321" i="5"/>
  <c r="O321" i="5"/>
  <c r="N322" i="5"/>
  <c r="O322" i="5"/>
  <c r="N323" i="5"/>
  <c r="O323" i="5"/>
  <c r="N324" i="5"/>
  <c r="O324" i="5"/>
  <c r="N325" i="5"/>
  <c r="O325" i="5"/>
  <c r="N326" i="5"/>
  <c r="O326" i="5"/>
  <c r="N327" i="5"/>
  <c r="O327" i="5"/>
  <c r="N328" i="5"/>
  <c r="O328" i="5"/>
  <c r="N329" i="5"/>
  <c r="O329" i="5"/>
  <c r="N330" i="5"/>
  <c r="O330" i="5"/>
  <c r="N331" i="5"/>
  <c r="O331" i="5"/>
  <c r="N332" i="5"/>
  <c r="O332" i="5"/>
  <c r="N333" i="5"/>
  <c r="O333" i="5"/>
  <c r="N334" i="5"/>
  <c r="O334" i="5"/>
  <c r="N335" i="5"/>
  <c r="O335" i="5"/>
  <c r="N336" i="5"/>
  <c r="O336" i="5"/>
  <c r="N337" i="5"/>
  <c r="O337" i="5"/>
  <c r="N338" i="5"/>
  <c r="O338" i="5"/>
  <c r="N339" i="5"/>
  <c r="O339" i="5"/>
  <c r="N340" i="5"/>
  <c r="O340" i="5"/>
  <c r="N341" i="5"/>
  <c r="O341" i="5"/>
  <c r="N342" i="5"/>
  <c r="O342" i="5"/>
  <c r="N343" i="5"/>
  <c r="O343" i="5"/>
  <c r="N344" i="5"/>
  <c r="O344" i="5"/>
  <c r="N345" i="5"/>
  <c r="O345" i="5"/>
  <c r="N346" i="5"/>
  <c r="O346" i="5"/>
  <c r="N347" i="5"/>
  <c r="O347" i="5"/>
  <c r="N348" i="5"/>
  <c r="O348" i="5"/>
  <c r="N349" i="5"/>
  <c r="O349" i="5"/>
  <c r="N350" i="5"/>
  <c r="O350" i="5"/>
  <c r="N351" i="5"/>
  <c r="O351" i="5"/>
  <c r="N352" i="5"/>
  <c r="O352" i="5"/>
  <c r="N353" i="5"/>
  <c r="O353" i="5"/>
  <c r="N354" i="5"/>
  <c r="O354" i="5"/>
  <c r="N355" i="5"/>
  <c r="O355" i="5"/>
  <c r="N356" i="5"/>
  <c r="O356" i="5"/>
  <c r="N357" i="5"/>
  <c r="O357" i="5"/>
  <c r="N358" i="5"/>
  <c r="O358" i="5"/>
  <c r="N359" i="5"/>
  <c r="O359" i="5"/>
  <c r="N360" i="5"/>
  <c r="O360" i="5"/>
  <c r="N361" i="5"/>
  <c r="O361" i="5"/>
  <c r="N362" i="5"/>
  <c r="O362" i="5"/>
  <c r="N363" i="5"/>
  <c r="O363" i="5"/>
  <c r="N364" i="5"/>
  <c r="O364" i="5"/>
  <c r="N365" i="5"/>
  <c r="O365" i="5"/>
  <c r="N366" i="5"/>
  <c r="O366" i="5"/>
  <c r="N367" i="5"/>
  <c r="O367" i="5"/>
  <c r="N368" i="5"/>
  <c r="O368" i="5"/>
  <c r="N369" i="5"/>
  <c r="O369" i="5"/>
  <c r="N370" i="5"/>
  <c r="O370" i="5"/>
  <c r="N371" i="5"/>
  <c r="O371" i="5"/>
  <c r="N372" i="5"/>
  <c r="O372" i="5"/>
  <c r="N373" i="5"/>
  <c r="O373" i="5"/>
  <c r="N374" i="5"/>
  <c r="O374" i="5"/>
  <c r="N375" i="5"/>
  <c r="O375" i="5"/>
  <c r="N376" i="5"/>
  <c r="O376" i="5"/>
  <c r="N377" i="5"/>
  <c r="O377" i="5"/>
  <c r="N378" i="5"/>
  <c r="O378" i="5"/>
  <c r="N379" i="5"/>
  <c r="O379" i="5"/>
  <c r="N380" i="5"/>
  <c r="O380" i="5"/>
  <c r="N381" i="5"/>
  <c r="O381" i="5"/>
  <c r="N382" i="5"/>
  <c r="O382" i="5"/>
  <c r="N303" i="5"/>
  <c r="P303" i="5"/>
  <c r="D370" i="5"/>
  <c r="E370" i="5"/>
  <c r="F370" i="5"/>
  <c r="G370" i="5"/>
  <c r="D371" i="5"/>
  <c r="E371" i="5"/>
  <c r="F371" i="5"/>
  <c r="G371" i="5"/>
  <c r="D372" i="5"/>
  <c r="E372" i="5"/>
  <c r="F372" i="5"/>
  <c r="G372" i="5"/>
  <c r="D373" i="5"/>
  <c r="E373" i="5"/>
  <c r="F373" i="5"/>
  <c r="G373" i="5"/>
  <c r="D374" i="5"/>
  <c r="E374" i="5"/>
  <c r="F374" i="5"/>
  <c r="G374" i="5"/>
  <c r="D375" i="5"/>
  <c r="E375" i="5"/>
  <c r="F375" i="5"/>
  <c r="G375" i="5"/>
  <c r="D376" i="5"/>
  <c r="E376" i="5"/>
  <c r="F376" i="5"/>
  <c r="G376" i="5"/>
  <c r="D377" i="5"/>
  <c r="E377" i="5"/>
  <c r="F377" i="5"/>
  <c r="G377" i="5"/>
  <c r="D378" i="5"/>
  <c r="E378" i="5"/>
  <c r="F378" i="5"/>
  <c r="G378" i="5"/>
  <c r="D379" i="5"/>
  <c r="E379" i="5"/>
  <c r="F379" i="5"/>
  <c r="G379" i="5"/>
  <c r="D380" i="5"/>
  <c r="E380" i="5"/>
  <c r="F380" i="5"/>
  <c r="G380" i="5"/>
  <c r="D381" i="5"/>
  <c r="E381" i="5"/>
  <c r="F381" i="5"/>
  <c r="G381" i="5"/>
  <c r="D382" i="5"/>
  <c r="E382" i="5"/>
  <c r="F382" i="5"/>
  <c r="G382" i="5"/>
  <c r="D303" i="5"/>
  <c r="E303" i="5"/>
  <c r="F303" i="5"/>
  <c r="G303" i="5"/>
  <c r="O303" i="5"/>
  <c r="D304" i="5"/>
  <c r="E304" i="5"/>
  <c r="F304" i="5"/>
  <c r="G304" i="5"/>
  <c r="D305" i="5"/>
  <c r="E305" i="5"/>
  <c r="F305" i="5"/>
  <c r="G305" i="5"/>
  <c r="D306" i="5"/>
  <c r="E306" i="5"/>
  <c r="F306" i="5"/>
  <c r="G306" i="5"/>
  <c r="D307" i="5"/>
  <c r="E307" i="5"/>
  <c r="F307" i="5"/>
  <c r="G307" i="5"/>
  <c r="D308" i="5"/>
  <c r="E308" i="5"/>
  <c r="F308" i="5"/>
  <c r="G308" i="5"/>
  <c r="D309" i="5"/>
  <c r="E309" i="5"/>
  <c r="F309" i="5"/>
  <c r="G309" i="5"/>
  <c r="D310" i="5"/>
  <c r="E310" i="5"/>
  <c r="F310" i="5"/>
  <c r="G310" i="5"/>
  <c r="D311" i="5"/>
  <c r="E311" i="5"/>
  <c r="F311" i="5"/>
  <c r="G311" i="5"/>
  <c r="D312" i="5"/>
  <c r="E312" i="5"/>
  <c r="F312" i="5"/>
  <c r="G312" i="5"/>
  <c r="D313" i="5"/>
  <c r="E313" i="5"/>
  <c r="F313" i="5"/>
  <c r="G313" i="5"/>
  <c r="D314" i="5"/>
  <c r="E314" i="5"/>
  <c r="F314" i="5"/>
  <c r="G314" i="5"/>
  <c r="D315" i="5"/>
  <c r="E315" i="5"/>
  <c r="F315" i="5"/>
  <c r="G315" i="5"/>
  <c r="D316" i="5"/>
  <c r="E316" i="5"/>
  <c r="F316" i="5"/>
  <c r="G316" i="5"/>
  <c r="D317" i="5"/>
  <c r="E317" i="5"/>
  <c r="F317" i="5"/>
  <c r="G317" i="5"/>
  <c r="D318" i="5"/>
  <c r="E318" i="5"/>
  <c r="F318" i="5"/>
  <c r="G318" i="5"/>
  <c r="D319" i="5"/>
  <c r="E319" i="5"/>
  <c r="F319" i="5"/>
  <c r="G319" i="5"/>
  <c r="D320" i="5"/>
  <c r="E320" i="5"/>
  <c r="F320" i="5"/>
  <c r="G320" i="5"/>
  <c r="D321" i="5"/>
  <c r="E321" i="5"/>
  <c r="F321" i="5"/>
  <c r="G321" i="5"/>
  <c r="D322" i="5"/>
  <c r="E322" i="5"/>
  <c r="F322" i="5"/>
  <c r="G322" i="5"/>
  <c r="D323" i="5"/>
  <c r="E323" i="5"/>
  <c r="F323" i="5"/>
  <c r="G323" i="5"/>
  <c r="D324" i="5"/>
  <c r="E324" i="5"/>
  <c r="F324" i="5"/>
  <c r="G324" i="5"/>
  <c r="D325" i="5"/>
  <c r="E325" i="5"/>
  <c r="F325" i="5"/>
  <c r="G325" i="5"/>
  <c r="D326" i="5"/>
  <c r="E326" i="5"/>
  <c r="F326" i="5"/>
  <c r="G326" i="5"/>
  <c r="D327" i="5"/>
  <c r="E327" i="5"/>
  <c r="F327" i="5"/>
  <c r="G327" i="5"/>
  <c r="D328" i="5"/>
  <c r="E328" i="5"/>
  <c r="F328" i="5"/>
  <c r="G328" i="5"/>
  <c r="D329" i="5"/>
  <c r="E329" i="5"/>
  <c r="F329" i="5"/>
  <c r="G329" i="5"/>
  <c r="D330" i="5"/>
  <c r="E330" i="5"/>
  <c r="F330" i="5"/>
  <c r="G330" i="5"/>
  <c r="D331" i="5"/>
  <c r="E331" i="5"/>
  <c r="F331" i="5"/>
  <c r="G331" i="5"/>
  <c r="D332" i="5"/>
  <c r="E332" i="5"/>
  <c r="F332" i="5"/>
  <c r="G332" i="5"/>
  <c r="D333" i="5"/>
  <c r="E333" i="5"/>
  <c r="F333" i="5"/>
  <c r="G333" i="5"/>
  <c r="D334" i="5"/>
  <c r="E334" i="5"/>
  <c r="F334" i="5"/>
  <c r="G334" i="5"/>
  <c r="D335" i="5"/>
  <c r="E335" i="5"/>
  <c r="F335" i="5"/>
  <c r="G335" i="5"/>
  <c r="D336" i="5"/>
  <c r="E336" i="5"/>
  <c r="F336" i="5"/>
  <c r="G336" i="5"/>
  <c r="D337" i="5"/>
  <c r="E337" i="5"/>
  <c r="F337" i="5"/>
  <c r="G337" i="5"/>
  <c r="D338" i="5"/>
  <c r="E338" i="5"/>
  <c r="F338" i="5"/>
  <c r="G338" i="5"/>
  <c r="D339" i="5"/>
  <c r="E339" i="5"/>
  <c r="F339" i="5"/>
  <c r="G339" i="5"/>
  <c r="D340" i="5"/>
  <c r="E340" i="5"/>
  <c r="F340" i="5"/>
  <c r="G340" i="5"/>
  <c r="D341" i="5"/>
  <c r="E341" i="5"/>
  <c r="F341" i="5"/>
  <c r="G341" i="5"/>
  <c r="D342" i="5"/>
  <c r="E342" i="5"/>
  <c r="F342" i="5"/>
  <c r="G342" i="5"/>
  <c r="D343" i="5"/>
  <c r="E343" i="5"/>
  <c r="F343" i="5"/>
  <c r="G343" i="5"/>
  <c r="D344" i="5"/>
  <c r="E344" i="5"/>
  <c r="F344" i="5"/>
  <c r="G344" i="5"/>
  <c r="D345" i="5"/>
  <c r="E345" i="5"/>
  <c r="F345" i="5"/>
  <c r="G345" i="5"/>
  <c r="D346" i="5"/>
  <c r="E346" i="5"/>
  <c r="F346" i="5"/>
  <c r="G346" i="5"/>
  <c r="D347" i="5"/>
  <c r="E347" i="5"/>
  <c r="F347" i="5"/>
  <c r="G347" i="5"/>
  <c r="D348" i="5"/>
  <c r="E348" i="5"/>
  <c r="F348" i="5"/>
  <c r="G348" i="5"/>
  <c r="D349" i="5"/>
  <c r="E349" i="5"/>
  <c r="F349" i="5"/>
  <c r="G349" i="5"/>
  <c r="D350" i="5"/>
  <c r="E350" i="5"/>
  <c r="F350" i="5"/>
  <c r="G350" i="5"/>
  <c r="D351" i="5"/>
  <c r="E351" i="5"/>
  <c r="F351" i="5"/>
  <c r="G351" i="5"/>
  <c r="D352" i="5"/>
  <c r="E352" i="5"/>
  <c r="F352" i="5"/>
  <c r="G352" i="5"/>
  <c r="D353" i="5"/>
  <c r="E353" i="5"/>
  <c r="F353" i="5"/>
  <c r="G353" i="5"/>
  <c r="D354" i="5"/>
  <c r="E354" i="5"/>
  <c r="F354" i="5"/>
  <c r="G354" i="5"/>
  <c r="D355" i="5"/>
  <c r="E355" i="5"/>
  <c r="F355" i="5"/>
  <c r="G355" i="5"/>
  <c r="D356" i="5"/>
  <c r="E356" i="5"/>
  <c r="F356" i="5"/>
  <c r="G356" i="5"/>
  <c r="D357" i="5"/>
  <c r="E357" i="5"/>
  <c r="F357" i="5"/>
  <c r="G357" i="5"/>
  <c r="D358" i="5"/>
  <c r="E358" i="5"/>
  <c r="F358" i="5"/>
  <c r="G358" i="5"/>
  <c r="D359" i="5"/>
  <c r="E359" i="5"/>
  <c r="F359" i="5"/>
  <c r="G359" i="5"/>
  <c r="D360" i="5"/>
  <c r="E360" i="5"/>
  <c r="F360" i="5"/>
  <c r="G360" i="5"/>
  <c r="D361" i="5"/>
  <c r="E361" i="5"/>
  <c r="F361" i="5"/>
  <c r="G361" i="5"/>
  <c r="D362" i="5"/>
  <c r="E362" i="5"/>
  <c r="F362" i="5"/>
  <c r="G362" i="5"/>
  <c r="D363" i="5"/>
  <c r="E363" i="5"/>
  <c r="F363" i="5"/>
  <c r="G363" i="5"/>
  <c r="D364" i="5"/>
  <c r="E364" i="5"/>
  <c r="F364" i="5"/>
  <c r="G364" i="5"/>
  <c r="D365" i="5"/>
  <c r="E365" i="5"/>
  <c r="F365" i="5"/>
  <c r="G365" i="5"/>
  <c r="D366" i="5"/>
  <c r="E366" i="5"/>
  <c r="F366" i="5"/>
  <c r="G366" i="5"/>
  <c r="D367" i="5"/>
  <c r="E367" i="5"/>
  <c r="F367" i="5"/>
  <c r="G367" i="5"/>
  <c r="D368" i="5"/>
  <c r="E368" i="5"/>
  <c r="F368" i="5"/>
  <c r="G368" i="5"/>
  <c r="D369" i="5"/>
  <c r="E369" i="5"/>
  <c r="F369" i="5"/>
  <c r="G369" i="5"/>
  <c r="O302" i="5"/>
  <c r="G302" i="5"/>
  <c r="E302" i="5"/>
  <c r="F302" i="5"/>
  <c r="D302"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137" i="5"/>
  <c r="D301" i="5"/>
  <c r="D137" i="5"/>
  <c r="E137" i="5"/>
  <c r="F137" i="5"/>
  <c r="G137" i="5"/>
  <c r="I137" i="5"/>
  <c r="D138" i="5"/>
  <c r="E138" i="5"/>
  <c r="F138" i="5"/>
  <c r="G138" i="5"/>
  <c r="I138" i="5"/>
  <c r="D139" i="5"/>
  <c r="E139" i="5"/>
  <c r="F139" i="5"/>
  <c r="G139" i="5"/>
  <c r="I139" i="5"/>
  <c r="D140" i="5"/>
  <c r="E140" i="5"/>
  <c r="F140" i="5"/>
  <c r="G140" i="5"/>
  <c r="I140" i="5"/>
  <c r="D141" i="5"/>
  <c r="E141" i="5"/>
  <c r="F141" i="5"/>
  <c r="G141" i="5"/>
  <c r="I141" i="5"/>
  <c r="D142" i="5"/>
  <c r="E142" i="5"/>
  <c r="F142" i="5"/>
  <c r="G142" i="5"/>
  <c r="I142" i="5"/>
  <c r="D143" i="5"/>
  <c r="E143" i="5"/>
  <c r="F143" i="5"/>
  <c r="G143" i="5"/>
  <c r="I143" i="5"/>
  <c r="D144" i="5"/>
  <c r="E144" i="5"/>
  <c r="F144" i="5"/>
  <c r="G144" i="5"/>
  <c r="I144" i="5"/>
  <c r="D145" i="5"/>
  <c r="E145" i="5"/>
  <c r="F145" i="5"/>
  <c r="G145" i="5"/>
  <c r="I145" i="5"/>
  <c r="D146" i="5"/>
  <c r="E146" i="5"/>
  <c r="F146" i="5"/>
  <c r="G146" i="5"/>
  <c r="I146" i="5"/>
  <c r="D147" i="5"/>
  <c r="E147" i="5"/>
  <c r="F147" i="5"/>
  <c r="G147" i="5"/>
  <c r="I147" i="5"/>
  <c r="D148" i="5"/>
  <c r="E148" i="5"/>
  <c r="F148" i="5"/>
  <c r="G148" i="5"/>
  <c r="I148" i="5"/>
  <c r="D149" i="5"/>
  <c r="E149" i="5"/>
  <c r="F149" i="5"/>
  <c r="G149" i="5"/>
  <c r="I149" i="5"/>
  <c r="D150" i="5"/>
  <c r="E150" i="5"/>
  <c r="F150" i="5"/>
  <c r="G150" i="5"/>
  <c r="I150" i="5"/>
  <c r="D151" i="5"/>
  <c r="E151" i="5"/>
  <c r="F151" i="5"/>
  <c r="G151" i="5"/>
  <c r="I151" i="5"/>
  <c r="D152" i="5"/>
  <c r="E152" i="5"/>
  <c r="F152" i="5"/>
  <c r="G152" i="5"/>
  <c r="I152" i="5"/>
  <c r="D153" i="5"/>
  <c r="E153" i="5"/>
  <c r="F153" i="5"/>
  <c r="G153" i="5"/>
  <c r="I153" i="5"/>
  <c r="D154" i="5"/>
  <c r="E154" i="5"/>
  <c r="F154" i="5"/>
  <c r="G154" i="5"/>
  <c r="I154" i="5"/>
  <c r="D155" i="5"/>
  <c r="E155" i="5"/>
  <c r="F155" i="5"/>
  <c r="G155" i="5"/>
  <c r="I155" i="5"/>
  <c r="D156" i="5"/>
  <c r="E156" i="5"/>
  <c r="F156" i="5"/>
  <c r="G156" i="5"/>
  <c r="I156" i="5"/>
  <c r="D157" i="5"/>
  <c r="E157" i="5"/>
  <c r="F157" i="5"/>
  <c r="G157" i="5"/>
  <c r="I157" i="5"/>
  <c r="D158" i="5"/>
  <c r="E158" i="5"/>
  <c r="F158" i="5"/>
  <c r="G158" i="5"/>
  <c r="I158" i="5"/>
  <c r="D159" i="5"/>
  <c r="E159" i="5"/>
  <c r="F159" i="5"/>
  <c r="G159" i="5"/>
  <c r="I159" i="5"/>
  <c r="D160" i="5"/>
  <c r="E160" i="5"/>
  <c r="F160" i="5"/>
  <c r="G160" i="5"/>
  <c r="I160" i="5"/>
  <c r="D161" i="5"/>
  <c r="E161" i="5"/>
  <c r="F161" i="5"/>
  <c r="G161" i="5"/>
  <c r="I161" i="5"/>
  <c r="D162" i="5"/>
  <c r="E162" i="5"/>
  <c r="F162" i="5"/>
  <c r="G162" i="5"/>
  <c r="I162" i="5"/>
  <c r="D163" i="5"/>
  <c r="E163" i="5"/>
  <c r="F163" i="5"/>
  <c r="G163" i="5"/>
  <c r="I163" i="5"/>
  <c r="D164" i="5"/>
  <c r="E164" i="5"/>
  <c r="F164" i="5"/>
  <c r="G164" i="5"/>
  <c r="I164" i="5"/>
  <c r="D165" i="5"/>
  <c r="F165" i="5"/>
  <c r="G165" i="5"/>
  <c r="I165" i="5"/>
  <c r="D166" i="5"/>
  <c r="F166" i="5"/>
  <c r="G166" i="5"/>
  <c r="I166" i="5"/>
  <c r="D167" i="5"/>
  <c r="F167" i="5"/>
  <c r="G167" i="5"/>
  <c r="I167" i="5"/>
  <c r="D168" i="5"/>
  <c r="F168" i="5"/>
  <c r="G168" i="5"/>
  <c r="I168" i="5"/>
  <c r="D169" i="5"/>
  <c r="F169" i="5"/>
  <c r="G169" i="5"/>
  <c r="I169" i="5"/>
  <c r="D170" i="5"/>
  <c r="F170" i="5"/>
  <c r="G170" i="5"/>
  <c r="I170" i="5"/>
  <c r="D171" i="5"/>
  <c r="E171" i="5"/>
  <c r="F171" i="5"/>
  <c r="G171" i="5"/>
  <c r="I171" i="5"/>
  <c r="D172" i="5"/>
  <c r="E172" i="5"/>
  <c r="F172" i="5"/>
  <c r="G172" i="5"/>
  <c r="I172" i="5"/>
  <c r="D173" i="5"/>
  <c r="E173" i="5"/>
  <c r="F173" i="5"/>
  <c r="G173" i="5"/>
  <c r="I173" i="5"/>
  <c r="D174" i="5"/>
  <c r="E174" i="5"/>
  <c r="F174" i="5"/>
  <c r="G174" i="5"/>
  <c r="I174" i="5"/>
  <c r="D175" i="5"/>
  <c r="E175" i="5"/>
  <c r="F175" i="5"/>
  <c r="G175" i="5"/>
  <c r="I175" i="5"/>
  <c r="D176" i="5"/>
  <c r="E176" i="5"/>
  <c r="F176" i="5"/>
  <c r="G176" i="5"/>
  <c r="I176" i="5"/>
  <c r="D177" i="5"/>
  <c r="E177" i="5"/>
  <c r="F177" i="5"/>
  <c r="G177" i="5"/>
  <c r="I177" i="5"/>
  <c r="D178" i="5"/>
  <c r="E178" i="5"/>
  <c r="F178" i="5"/>
  <c r="G178" i="5"/>
  <c r="I178" i="5"/>
  <c r="D179" i="5"/>
  <c r="E179" i="5"/>
  <c r="F179" i="5"/>
  <c r="G179" i="5"/>
  <c r="I179" i="5"/>
  <c r="D180" i="5"/>
  <c r="E180" i="5"/>
  <c r="F180" i="5"/>
  <c r="G180" i="5"/>
  <c r="I180" i="5"/>
  <c r="D181" i="5"/>
  <c r="E181" i="5"/>
  <c r="F181" i="5"/>
  <c r="G181" i="5"/>
  <c r="I181" i="5"/>
  <c r="D182" i="5"/>
  <c r="E182" i="5"/>
  <c r="F182" i="5"/>
  <c r="G182" i="5"/>
  <c r="I182" i="5"/>
  <c r="D183" i="5"/>
  <c r="E183" i="5"/>
  <c r="F183" i="5"/>
  <c r="G183" i="5"/>
  <c r="I183" i="5"/>
  <c r="D184" i="5"/>
  <c r="E184" i="5"/>
  <c r="F184" i="5"/>
  <c r="G184" i="5"/>
  <c r="I184" i="5"/>
  <c r="D185" i="5"/>
  <c r="E185" i="5"/>
  <c r="F185" i="5"/>
  <c r="G185" i="5"/>
  <c r="I185" i="5"/>
  <c r="D186" i="5"/>
  <c r="E186" i="5"/>
  <c r="F186" i="5"/>
  <c r="G186" i="5"/>
  <c r="I186" i="5"/>
  <c r="D187" i="5"/>
  <c r="E187" i="5"/>
  <c r="F187" i="5"/>
  <c r="G187" i="5"/>
  <c r="I187" i="5"/>
  <c r="D188" i="5"/>
  <c r="E188" i="5"/>
  <c r="F188" i="5"/>
  <c r="G188" i="5"/>
  <c r="I188" i="5"/>
  <c r="D189" i="5"/>
  <c r="E189" i="5"/>
  <c r="F189" i="5"/>
  <c r="G189" i="5"/>
  <c r="I189" i="5"/>
  <c r="D190" i="5"/>
  <c r="E190" i="5"/>
  <c r="F190" i="5"/>
  <c r="G190" i="5"/>
  <c r="I190" i="5"/>
  <c r="D191" i="5"/>
  <c r="E191" i="5"/>
  <c r="F191" i="5"/>
  <c r="G191" i="5"/>
  <c r="I191" i="5"/>
  <c r="D192" i="5"/>
  <c r="E192" i="5"/>
  <c r="F192" i="5"/>
  <c r="G192" i="5"/>
  <c r="I192" i="5"/>
  <c r="D193" i="5"/>
  <c r="E193" i="5"/>
  <c r="F193" i="5"/>
  <c r="G193" i="5"/>
  <c r="I193" i="5"/>
  <c r="D194" i="5"/>
  <c r="E194" i="5"/>
  <c r="F194" i="5"/>
  <c r="G194" i="5"/>
  <c r="I194" i="5"/>
  <c r="D195" i="5"/>
  <c r="E195" i="5"/>
  <c r="F195" i="5"/>
  <c r="G195" i="5"/>
  <c r="I195" i="5"/>
  <c r="D196" i="5"/>
  <c r="E196" i="5"/>
  <c r="F196" i="5"/>
  <c r="G196" i="5"/>
  <c r="I196" i="5"/>
  <c r="D197" i="5"/>
  <c r="E197" i="5"/>
  <c r="F197" i="5"/>
  <c r="G197" i="5"/>
  <c r="I197" i="5"/>
  <c r="D198" i="5"/>
  <c r="E198" i="5"/>
  <c r="F198" i="5"/>
  <c r="G198" i="5"/>
  <c r="I198" i="5"/>
  <c r="D199" i="5"/>
  <c r="E199" i="5"/>
  <c r="F199" i="5"/>
  <c r="G199" i="5"/>
  <c r="I199" i="5"/>
  <c r="D200" i="5"/>
  <c r="E200" i="5"/>
  <c r="F200" i="5"/>
  <c r="G200" i="5"/>
  <c r="I200" i="5"/>
  <c r="D201" i="5"/>
  <c r="E201" i="5"/>
  <c r="F201" i="5"/>
  <c r="G201" i="5"/>
  <c r="I201" i="5"/>
  <c r="D202" i="5"/>
  <c r="E202" i="5"/>
  <c r="F202" i="5"/>
  <c r="G202" i="5"/>
  <c r="I202" i="5"/>
  <c r="D203" i="5"/>
  <c r="E203" i="5"/>
  <c r="F203" i="5"/>
  <c r="G203" i="5"/>
  <c r="I203" i="5"/>
  <c r="D204" i="5"/>
  <c r="E204" i="5"/>
  <c r="F204" i="5"/>
  <c r="G204" i="5"/>
  <c r="I204" i="5"/>
  <c r="D205" i="5"/>
  <c r="E205" i="5"/>
  <c r="F205" i="5"/>
  <c r="G205" i="5"/>
  <c r="I205" i="5"/>
  <c r="D206" i="5"/>
  <c r="E206" i="5"/>
  <c r="F206" i="5"/>
  <c r="G206" i="5"/>
  <c r="I206" i="5"/>
  <c r="D207" i="5"/>
  <c r="E207" i="5"/>
  <c r="F207" i="5"/>
  <c r="G207" i="5"/>
  <c r="I207" i="5"/>
  <c r="D208" i="5"/>
  <c r="E208" i="5"/>
  <c r="F208" i="5"/>
  <c r="G208" i="5"/>
  <c r="I208" i="5"/>
  <c r="D209" i="5"/>
  <c r="E209" i="5"/>
  <c r="F209" i="5"/>
  <c r="G209" i="5"/>
  <c r="I209" i="5"/>
  <c r="D210" i="5"/>
  <c r="E210" i="5"/>
  <c r="F210" i="5"/>
  <c r="G210" i="5"/>
  <c r="I210" i="5"/>
  <c r="D211" i="5"/>
  <c r="E211" i="5"/>
  <c r="F211" i="5"/>
  <c r="G211" i="5"/>
  <c r="I211" i="5"/>
  <c r="D212" i="5"/>
  <c r="E212" i="5"/>
  <c r="F212" i="5"/>
  <c r="G212" i="5"/>
  <c r="I212" i="5"/>
  <c r="D213" i="5"/>
  <c r="E213" i="5"/>
  <c r="F213" i="5"/>
  <c r="G213" i="5"/>
  <c r="I213" i="5"/>
  <c r="D214" i="5"/>
  <c r="E214" i="5"/>
  <c r="F214" i="5"/>
  <c r="G214" i="5"/>
  <c r="I214" i="5"/>
  <c r="D215" i="5"/>
  <c r="E215" i="5"/>
  <c r="F215" i="5"/>
  <c r="G215" i="5"/>
  <c r="I215" i="5"/>
  <c r="D216" i="5"/>
  <c r="E216" i="5"/>
  <c r="F216" i="5"/>
  <c r="G216" i="5"/>
  <c r="I216" i="5"/>
  <c r="D217" i="5"/>
  <c r="E217" i="5"/>
  <c r="F217" i="5"/>
  <c r="G217" i="5"/>
  <c r="I217" i="5"/>
  <c r="D218" i="5"/>
  <c r="E218" i="5"/>
  <c r="F218" i="5"/>
  <c r="G218" i="5"/>
  <c r="I218" i="5"/>
  <c r="D219" i="5"/>
  <c r="E219" i="5"/>
  <c r="F219" i="5"/>
  <c r="G219" i="5"/>
  <c r="I219" i="5"/>
  <c r="D220" i="5"/>
  <c r="E220" i="5"/>
  <c r="F220" i="5"/>
  <c r="G220" i="5"/>
  <c r="I220" i="5"/>
  <c r="D221" i="5"/>
  <c r="E221" i="5"/>
  <c r="F221" i="5"/>
  <c r="G221" i="5"/>
  <c r="I221" i="5"/>
  <c r="D222" i="5"/>
  <c r="E222" i="5"/>
  <c r="F222" i="5"/>
  <c r="G222" i="5"/>
  <c r="I222" i="5"/>
  <c r="D223" i="5"/>
  <c r="E223" i="5"/>
  <c r="F223" i="5"/>
  <c r="G223" i="5"/>
  <c r="I223" i="5"/>
  <c r="D224" i="5"/>
  <c r="E224" i="5"/>
  <c r="F224" i="5"/>
  <c r="G224" i="5"/>
  <c r="I224" i="5"/>
  <c r="D225" i="5"/>
  <c r="E225" i="5"/>
  <c r="F225" i="5"/>
  <c r="G225" i="5"/>
  <c r="I225" i="5"/>
  <c r="D226" i="5"/>
  <c r="E226" i="5"/>
  <c r="F226" i="5"/>
  <c r="G226" i="5"/>
  <c r="I226" i="5"/>
  <c r="D227" i="5"/>
  <c r="E227" i="5"/>
  <c r="F227" i="5"/>
  <c r="G227" i="5"/>
  <c r="I227" i="5"/>
  <c r="D228" i="5"/>
  <c r="E228" i="5"/>
  <c r="F228" i="5"/>
  <c r="G228" i="5"/>
  <c r="I228" i="5"/>
  <c r="D229" i="5"/>
  <c r="E229" i="5"/>
  <c r="F229" i="5"/>
  <c r="G229" i="5"/>
  <c r="I229" i="5"/>
  <c r="D230" i="5"/>
  <c r="E230" i="5"/>
  <c r="F230" i="5"/>
  <c r="G230" i="5"/>
  <c r="I230" i="5"/>
  <c r="D231" i="5"/>
  <c r="E231" i="5"/>
  <c r="F231" i="5"/>
  <c r="G231" i="5"/>
  <c r="I231" i="5"/>
  <c r="D232" i="5"/>
  <c r="E232" i="5"/>
  <c r="F232" i="5"/>
  <c r="G232" i="5"/>
  <c r="I232" i="5"/>
  <c r="D233" i="5"/>
  <c r="E233" i="5"/>
  <c r="F233" i="5"/>
  <c r="G233" i="5"/>
  <c r="I233" i="5"/>
  <c r="D234" i="5"/>
  <c r="E234" i="5"/>
  <c r="F234" i="5"/>
  <c r="G234" i="5"/>
  <c r="I234" i="5"/>
  <c r="D235" i="5"/>
  <c r="E235" i="5"/>
  <c r="F235" i="5"/>
  <c r="G235" i="5"/>
  <c r="I235" i="5"/>
  <c r="D236" i="5"/>
  <c r="E236" i="5"/>
  <c r="F236" i="5"/>
  <c r="G236" i="5"/>
  <c r="I236" i="5"/>
  <c r="D237" i="5"/>
  <c r="E237" i="5"/>
  <c r="F237" i="5"/>
  <c r="G237" i="5"/>
  <c r="I237" i="5"/>
  <c r="D238" i="5"/>
  <c r="E238" i="5"/>
  <c r="F238" i="5"/>
  <c r="G238" i="5"/>
  <c r="I238" i="5"/>
  <c r="D239" i="5"/>
  <c r="E239" i="5"/>
  <c r="F239" i="5"/>
  <c r="G239" i="5"/>
  <c r="I239" i="5"/>
  <c r="D240" i="5"/>
  <c r="E240" i="5"/>
  <c r="F240" i="5"/>
  <c r="G240" i="5"/>
  <c r="I240" i="5"/>
  <c r="D241" i="5"/>
  <c r="E241" i="5"/>
  <c r="F241" i="5"/>
  <c r="G241" i="5"/>
  <c r="I241" i="5"/>
  <c r="D242" i="5"/>
  <c r="E242" i="5"/>
  <c r="F242" i="5"/>
  <c r="G242" i="5"/>
  <c r="I242" i="5"/>
  <c r="D243" i="5"/>
  <c r="E243" i="5"/>
  <c r="F243" i="5"/>
  <c r="G243" i="5"/>
  <c r="I243" i="5"/>
  <c r="D244" i="5"/>
  <c r="E244" i="5"/>
  <c r="F244" i="5"/>
  <c r="G244" i="5"/>
  <c r="I244" i="5"/>
  <c r="D245" i="5"/>
  <c r="E245" i="5"/>
  <c r="F245" i="5"/>
  <c r="G245" i="5"/>
  <c r="I245" i="5"/>
  <c r="D246" i="5"/>
  <c r="E246" i="5"/>
  <c r="F246" i="5"/>
  <c r="G246" i="5"/>
  <c r="I246" i="5"/>
  <c r="D247" i="5"/>
  <c r="E247" i="5"/>
  <c r="F247" i="5"/>
  <c r="G247" i="5"/>
  <c r="I247" i="5"/>
  <c r="D248" i="5"/>
  <c r="E248" i="5"/>
  <c r="F248" i="5"/>
  <c r="G248" i="5"/>
  <c r="I248" i="5"/>
  <c r="D249" i="5"/>
  <c r="E249" i="5"/>
  <c r="F249" i="5"/>
  <c r="G249" i="5"/>
  <c r="I249" i="5"/>
  <c r="D250" i="5"/>
  <c r="E250" i="5"/>
  <c r="F250" i="5"/>
  <c r="G250" i="5"/>
  <c r="I250" i="5"/>
  <c r="D251" i="5"/>
  <c r="E251" i="5"/>
  <c r="F251" i="5"/>
  <c r="G251" i="5"/>
  <c r="I251" i="5"/>
  <c r="D252" i="5"/>
  <c r="E252" i="5"/>
  <c r="F252" i="5"/>
  <c r="G252" i="5"/>
  <c r="I252" i="5"/>
  <c r="D253" i="5"/>
  <c r="E253" i="5"/>
  <c r="F253" i="5"/>
  <c r="G253" i="5"/>
  <c r="I253" i="5"/>
  <c r="D254" i="5"/>
  <c r="E254" i="5"/>
  <c r="F254" i="5"/>
  <c r="G254" i="5"/>
  <c r="I254" i="5"/>
  <c r="D255" i="5"/>
  <c r="E255" i="5"/>
  <c r="F255" i="5"/>
  <c r="G255" i="5"/>
  <c r="I255" i="5"/>
  <c r="D256" i="5"/>
  <c r="E256" i="5"/>
  <c r="F256" i="5"/>
  <c r="G256" i="5"/>
  <c r="I256" i="5"/>
  <c r="D257" i="5"/>
  <c r="E257" i="5"/>
  <c r="F257" i="5"/>
  <c r="G257" i="5"/>
  <c r="I257" i="5"/>
  <c r="D258" i="5"/>
  <c r="E258" i="5"/>
  <c r="F258" i="5"/>
  <c r="G258" i="5"/>
  <c r="I258" i="5"/>
  <c r="D259" i="5"/>
  <c r="E259" i="5"/>
  <c r="F259" i="5"/>
  <c r="G259" i="5"/>
  <c r="I259" i="5"/>
  <c r="D260" i="5"/>
  <c r="E260" i="5"/>
  <c r="F260" i="5"/>
  <c r="G260" i="5"/>
  <c r="I260" i="5"/>
  <c r="D261" i="5"/>
  <c r="E261" i="5"/>
  <c r="F261" i="5"/>
  <c r="G261" i="5"/>
  <c r="I261" i="5"/>
  <c r="D262" i="5"/>
  <c r="E262" i="5"/>
  <c r="F262" i="5"/>
  <c r="G262" i="5"/>
  <c r="I262" i="5"/>
  <c r="D263" i="5"/>
  <c r="E263" i="5"/>
  <c r="F263" i="5"/>
  <c r="G263" i="5"/>
  <c r="I263" i="5"/>
  <c r="D264" i="5"/>
  <c r="E264" i="5"/>
  <c r="F264" i="5"/>
  <c r="G264" i="5"/>
  <c r="I264" i="5"/>
  <c r="D265" i="5"/>
  <c r="E265" i="5"/>
  <c r="F265" i="5"/>
  <c r="G265" i="5"/>
  <c r="I265" i="5"/>
  <c r="D266" i="5"/>
  <c r="E266" i="5"/>
  <c r="F266" i="5"/>
  <c r="G266" i="5"/>
  <c r="I266" i="5"/>
  <c r="D267" i="5"/>
  <c r="E267" i="5"/>
  <c r="F267" i="5"/>
  <c r="G267" i="5"/>
  <c r="I267" i="5"/>
  <c r="D268" i="5"/>
  <c r="E268" i="5"/>
  <c r="F268" i="5"/>
  <c r="G268" i="5"/>
  <c r="I268" i="5"/>
  <c r="D269" i="5"/>
  <c r="E269" i="5"/>
  <c r="F269" i="5"/>
  <c r="G269" i="5"/>
  <c r="I269" i="5"/>
  <c r="D270" i="5"/>
  <c r="E270" i="5"/>
  <c r="F270" i="5"/>
  <c r="G270" i="5"/>
  <c r="I270" i="5"/>
  <c r="D271" i="5"/>
  <c r="E271" i="5"/>
  <c r="F271" i="5"/>
  <c r="G271" i="5"/>
  <c r="I271" i="5"/>
  <c r="D272" i="5"/>
  <c r="E272" i="5"/>
  <c r="F272" i="5"/>
  <c r="G272" i="5"/>
  <c r="I272" i="5"/>
  <c r="D273" i="5"/>
  <c r="E273" i="5"/>
  <c r="F273" i="5"/>
  <c r="G273" i="5"/>
  <c r="I273" i="5"/>
  <c r="D274" i="5"/>
  <c r="E274" i="5"/>
  <c r="F274" i="5"/>
  <c r="G274" i="5"/>
  <c r="I274" i="5"/>
  <c r="D275" i="5"/>
  <c r="E275" i="5"/>
  <c r="F275" i="5"/>
  <c r="G275" i="5"/>
  <c r="I275" i="5"/>
  <c r="D276" i="5"/>
  <c r="E276" i="5"/>
  <c r="F276" i="5"/>
  <c r="G276" i="5"/>
  <c r="I276" i="5"/>
  <c r="D277" i="5"/>
  <c r="E277" i="5"/>
  <c r="F277" i="5"/>
  <c r="G277" i="5"/>
  <c r="I277" i="5"/>
  <c r="D278" i="5"/>
  <c r="E278" i="5"/>
  <c r="F278" i="5"/>
  <c r="G278" i="5"/>
  <c r="I278" i="5"/>
  <c r="D279" i="5"/>
  <c r="E279" i="5"/>
  <c r="F279" i="5"/>
  <c r="G279" i="5"/>
  <c r="I279" i="5"/>
  <c r="D280" i="5"/>
  <c r="E280" i="5"/>
  <c r="F280" i="5"/>
  <c r="G280" i="5"/>
  <c r="I280" i="5"/>
  <c r="D281" i="5"/>
  <c r="E281" i="5"/>
  <c r="F281" i="5"/>
  <c r="G281" i="5"/>
  <c r="I281" i="5"/>
  <c r="D282" i="5"/>
  <c r="E282" i="5"/>
  <c r="F282" i="5"/>
  <c r="G282" i="5"/>
  <c r="I282" i="5"/>
  <c r="D283" i="5"/>
  <c r="E283" i="5"/>
  <c r="F283" i="5"/>
  <c r="G283" i="5"/>
  <c r="I283" i="5"/>
  <c r="D284" i="5"/>
  <c r="E284" i="5"/>
  <c r="F284" i="5"/>
  <c r="G284" i="5"/>
  <c r="I284" i="5"/>
  <c r="D285" i="5"/>
  <c r="E285" i="5"/>
  <c r="F285" i="5"/>
  <c r="G285" i="5"/>
  <c r="I285" i="5"/>
  <c r="D286" i="5"/>
  <c r="E286" i="5"/>
  <c r="F286" i="5"/>
  <c r="G286" i="5"/>
  <c r="I286" i="5"/>
  <c r="D287" i="5"/>
  <c r="E287" i="5"/>
  <c r="F287" i="5"/>
  <c r="G287" i="5"/>
  <c r="I287" i="5"/>
  <c r="D288" i="5"/>
  <c r="E288" i="5"/>
  <c r="F288" i="5"/>
  <c r="G288" i="5"/>
  <c r="I288" i="5"/>
  <c r="D289" i="5"/>
  <c r="E289" i="5"/>
  <c r="F289" i="5"/>
  <c r="G289" i="5"/>
  <c r="I289" i="5"/>
  <c r="D290" i="5"/>
  <c r="E290" i="5"/>
  <c r="F290" i="5"/>
  <c r="G290" i="5"/>
  <c r="I290" i="5"/>
  <c r="D291" i="5"/>
  <c r="E291" i="5"/>
  <c r="F291" i="5"/>
  <c r="G291" i="5"/>
  <c r="I291" i="5"/>
  <c r="D292" i="5"/>
  <c r="E292" i="5"/>
  <c r="F292" i="5"/>
  <c r="G292" i="5"/>
  <c r="I292" i="5"/>
  <c r="D293" i="5"/>
  <c r="E293" i="5"/>
  <c r="F293" i="5"/>
  <c r="G293" i="5"/>
  <c r="I293" i="5"/>
  <c r="D294" i="5"/>
  <c r="E294" i="5"/>
  <c r="F294" i="5"/>
  <c r="G294" i="5"/>
  <c r="I294" i="5"/>
  <c r="D295" i="5"/>
  <c r="E295" i="5"/>
  <c r="F295" i="5"/>
  <c r="G295" i="5"/>
  <c r="I295" i="5"/>
  <c r="D296" i="5"/>
  <c r="E296" i="5"/>
  <c r="F296" i="5"/>
  <c r="G296" i="5"/>
  <c r="I296" i="5"/>
  <c r="D297" i="5"/>
  <c r="E297" i="5"/>
  <c r="F297" i="5"/>
  <c r="G297" i="5"/>
  <c r="I297" i="5"/>
  <c r="D298" i="5"/>
  <c r="E298" i="5"/>
  <c r="F298" i="5"/>
  <c r="G298" i="5"/>
  <c r="I298" i="5"/>
  <c r="D299" i="5"/>
  <c r="E299" i="5"/>
  <c r="F299" i="5"/>
  <c r="G299" i="5"/>
  <c r="I299" i="5"/>
  <c r="D300" i="5"/>
  <c r="E300" i="5"/>
  <c r="F300" i="5"/>
  <c r="G300" i="5"/>
  <c r="I300" i="5"/>
  <c r="E301" i="5"/>
  <c r="F301" i="5"/>
  <c r="G301" i="5"/>
  <c r="I301" i="5"/>
  <c r="I136" i="5"/>
  <c r="E136" i="5"/>
  <c r="G32" i="1" a="1"/>
  <c r="G32" i="1" s="1"/>
  <c r="E166" i="5" s="1"/>
  <c r="H32" i="1"/>
  <c r="G33" i="1" a="1"/>
  <c r="G33" i="1" s="1"/>
  <c r="E167" i="5" s="1"/>
  <c r="H33" i="1"/>
  <c r="G34" i="1" a="1"/>
  <c r="G34" i="1" s="1"/>
  <c r="E168" i="5" s="1"/>
  <c r="H34" i="1"/>
  <c r="G35" i="1" a="1"/>
  <c r="G35" i="1" s="1"/>
  <c r="E169" i="5" s="1"/>
  <c r="H35" i="1"/>
  <c r="G36" i="1" a="1"/>
  <c r="G36" i="1" s="1"/>
  <c r="E170" i="5" s="1"/>
  <c r="H36" i="1"/>
  <c r="G37" i="1" a="1"/>
  <c r="G37" i="1" s="1"/>
  <c r="H37" i="1"/>
  <c r="H31" i="1"/>
  <c r="G31" i="1" a="1"/>
  <c r="G31" i="1" s="1"/>
  <c r="E165" i="5" s="1"/>
  <c r="F136" i="5"/>
  <c r="P151" i="5"/>
  <c r="P152" i="5"/>
  <c r="P153" i="5"/>
  <c r="P154" i="5"/>
  <c r="P144" i="5"/>
  <c r="P145" i="5"/>
  <c r="P146" i="5"/>
  <c r="P147" i="5"/>
  <c r="P148" i="5"/>
  <c r="P149" i="5"/>
  <c r="P150" i="5"/>
  <c r="P137" i="5"/>
  <c r="P138" i="5"/>
  <c r="P139" i="5"/>
  <c r="P140" i="5"/>
  <c r="P141" i="5"/>
  <c r="P142" i="5"/>
  <c r="P143"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18" i="5"/>
  <c r="P219" i="5"/>
  <c r="P220" i="5"/>
  <c r="P221" i="5"/>
  <c r="P222" i="5"/>
  <c r="P223" i="5"/>
  <c r="P224" i="5"/>
  <c r="P225" i="5"/>
  <c r="P226" i="5"/>
  <c r="P227" i="5"/>
  <c r="P235" i="5"/>
  <c r="P236" i="5"/>
  <c r="P237" i="5"/>
  <c r="P238" i="5"/>
  <c r="P239" i="5"/>
  <c r="P240" i="5"/>
  <c r="P241" i="5"/>
  <c r="P242" i="5"/>
  <c r="P243" i="5"/>
  <c r="P244" i="5"/>
  <c r="P245" i="5"/>
  <c r="P246" i="5"/>
  <c r="P247" i="5"/>
  <c r="P248" i="5"/>
  <c r="P249" i="5"/>
  <c r="P250" i="5"/>
  <c r="P251"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85" i="5"/>
  <c r="P286" i="5"/>
  <c r="P287" i="5"/>
  <c r="P288" i="5"/>
  <c r="P289" i="5"/>
  <c r="P290" i="5"/>
  <c r="P291" i="5"/>
  <c r="P292" i="5"/>
  <c r="P293" i="5"/>
  <c r="P294" i="5"/>
  <c r="P295" i="5"/>
  <c r="P296" i="5"/>
  <c r="P297" i="5"/>
  <c r="P298" i="5"/>
  <c r="P299" i="5"/>
  <c r="P300" i="5"/>
  <c r="P301" i="5"/>
  <c r="P136" i="5"/>
  <c r="E154" i="1"/>
  <c r="E155" i="1"/>
  <c r="E156" i="1"/>
  <c r="E157" i="1"/>
  <c r="E158" i="1"/>
  <c r="E159" i="1"/>
  <c r="E160" i="1"/>
  <c r="E161" i="1"/>
  <c r="E162" i="1"/>
  <c r="E153" i="1"/>
  <c r="P278" i="5"/>
  <c r="P279" i="5"/>
  <c r="P280" i="5"/>
  <c r="P281" i="5"/>
  <c r="P282" i="5"/>
  <c r="P283" i="5"/>
  <c r="P284" i="5"/>
  <c r="P277" i="5"/>
  <c r="E95" i="1"/>
  <c r="P229" i="5" s="1"/>
  <c r="E96" i="1"/>
  <c r="P230" i="5" s="1"/>
  <c r="E97" i="1"/>
  <c r="P231" i="5" s="1"/>
  <c r="E98" i="1"/>
  <c r="P232" i="5" s="1"/>
  <c r="E99" i="1"/>
  <c r="P233" i="5" s="1"/>
  <c r="E100" i="1"/>
  <c r="P234" i="5" s="1"/>
  <c r="E94" i="1"/>
  <c r="P228" i="5" s="1"/>
  <c r="E66" i="1"/>
  <c r="E67" i="1"/>
  <c r="E68" i="1"/>
  <c r="E69" i="1"/>
  <c r="E70" i="1"/>
  <c r="E71" i="1"/>
  <c r="E72" i="1"/>
  <c r="P210" i="5"/>
  <c r="P211" i="5"/>
  <c r="P212" i="5"/>
  <c r="P213" i="5"/>
  <c r="P214" i="5"/>
  <c r="P215" i="5"/>
  <c r="P216" i="5"/>
  <c r="P217" i="5"/>
  <c r="P209" i="5"/>
  <c r="E65" i="1"/>
  <c r="E41" i="1"/>
  <c r="E42" i="1"/>
  <c r="E43" i="1"/>
  <c r="E44" i="1"/>
  <c r="E45" i="1"/>
  <c r="E46" i="1"/>
  <c r="E47" i="1"/>
  <c r="E48" i="1"/>
  <c r="E49" i="1"/>
  <c r="E50" i="1"/>
  <c r="E33" i="1"/>
  <c r="E34" i="1"/>
  <c r="E35" i="1"/>
  <c r="E36" i="1"/>
  <c r="E37" i="1"/>
  <c r="E40" i="1"/>
  <c r="E32" i="1"/>
  <c r="E4" i="1"/>
  <c r="E5" i="1"/>
  <c r="E6" i="1"/>
  <c r="E7" i="1"/>
  <c r="E8" i="1"/>
  <c r="E9" i="1"/>
  <c r="E10" i="1"/>
  <c r="E3" i="1"/>
  <c r="G136" i="5"/>
  <c r="D136" i="5"/>
  <c r="C116" i="5"/>
  <c r="D116" i="5"/>
  <c r="E116" i="5"/>
  <c r="G116" i="5"/>
  <c r="P116" i="5"/>
  <c r="C117" i="5"/>
  <c r="D117" i="5"/>
  <c r="E117" i="5"/>
  <c r="G117" i="5"/>
  <c r="P117" i="5"/>
  <c r="C118" i="5"/>
  <c r="D118" i="5"/>
  <c r="E118" i="5"/>
  <c r="G118" i="5"/>
  <c r="P118" i="5"/>
  <c r="C119" i="5"/>
  <c r="D119" i="5"/>
  <c r="E119" i="5"/>
  <c r="G119" i="5"/>
  <c r="P119" i="5"/>
  <c r="C120" i="5"/>
  <c r="D120" i="5"/>
  <c r="E120" i="5"/>
  <c r="G120" i="5"/>
  <c r="P120" i="5"/>
  <c r="C121" i="5"/>
  <c r="D121" i="5"/>
  <c r="E121" i="5"/>
  <c r="G121" i="5"/>
  <c r="P121" i="5"/>
  <c r="C122" i="5"/>
  <c r="D122" i="5"/>
  <c r="E122" i="5"/>
  <c r="G122" i="5"/>
  <c r="P122" i="5"/>
  <c r="C123" i="5"/>
  <c r="D123" i="5"/>
  <c r="E123" i="5"/>
  <c r="G123" i="5"/>
  <c r="P123" i="5"/>
  <c r="C124" i="5"/>
  <c r="D124" i="5"/>
  <c r="E124" i="5"/>
  <c r="G124" i="5"/>
  <c r="P124" i="5"/>
  <c r="C125" i="5"/>
  <c r="D125" i="5"/>
  <c r="E125" i="5"/>
  <c r="G125" i="5"/>
  <c r="P125" i="5"/>
  <c r="C126" i="5"/>
  <c r="D126" i="5"/>
  <c r="E126" i="5"/>
  <c r="G126" i="5"/>
  <c r="P126" i="5"/>
  <c r="C127" i="5"/>
  <c r="D127" i="5"/>
  <c r="E127" i="5"/>
  <c r="G127" i="5"/>
  <c r="P127" i="5"/>
  <c r="C128" i="5"/>
  <c r="D128" i="5"/>
  <c r="E128" i="5"/>
  <c r="G128" i="5"/>
  <c r="P128" i="5"/>
  <c r="C129" i="5"/>
  <c r="D129" i="5"/>
  <c r="E129" i="5"/>
  <c r="G129" i="5"/>
  <c r="P129" i="5"/>
  <c r="C130" i="5"/>
  <c r="D130" i="5"/>
  <c r="E130" i="5"/>
  <c r="G130" i="5"/>
  <c r="P130" i="5"/>
  <c r="C131" i="5"/>
  <c r="D131" i="5"/>
  <c r="E131" i="5"/>
  <c r="G131" i="5"/>
  <c r="P131" i="5"/>
  <c r="C132" i="5"/>
  <c r="D132" i="5"/>
  <c r="E132" i="5"/>
  <c r="G132" i="5"/>
  <c r="P132" i="5"/>
  <c r="C133" i="5"/>
  <c r="D133" i="5"/>
  <c r="E133" i="5"/>
  <c r="G133" i="5"/>
  <c r="P133" i="5"/>
  <c r="C134" i="5"/>
  <c r="D134" i="5"/>
  <c r="E134" i="5"/>
  <c r="G134" i="5"/>
  <c r="P134" i="5"/>
  <c r="C135" i="5"/>
  <c r="D135" i="5"/>
  <c r="E135" i="5"/>
  <c r="G135" i="5"/>
  <c r="P135" i="5"/>
  <c r="P115" i="5"/>
  <c r="G115" i="5"/>
  <c r="E115" i="5"/>
  <c r="D115" i="5"/>
  <c r="C115" i="5"/>
  <c r="C95" i="5"/>
  <c r="C96" i="5"/>
  <c r="C97" i="5"/>
  <c r="C98" i="5"/>
  <c r="C99" i="5"/>
  <c r="C100" i="5"/>
  <c r="C101" i="5"/>
  <c r="C102" i="5"/>
  <c r="C103" i="5"/>
  <c r="C104" i="5"/>
  <c r="C105" i="5"/>
  <c r="C106" i="5"/>
  <c r="C107" i="5"/>
  <c r="C108" i="5"/>
  <c r="C109" i="5"/>
  <c r="C110" i="5"/>
  <c r="C111" i="5"/>
  <c r="C112" i="5"/>
  <c r="C113" i="5"/>
  <c r="C114" i="5"/>
  <c r="C94" i="5"/>
  <c r="D95" i="5"/>
  <c r="E95" i="5"/>
  <c r="G95" i="5"/>
  <c r="P95" i="5"/>
  <c r="D96" i="5"/>
  <c r="E96" i="5"/>
  <c r="G96" i="5"/>
  <c r="P96" i="5"/>
  <c r="D97" i="5"/>
  <c r="E97" i="5"/>
  <c r="G97" i="5"/>
  <c r="P97" i="5"/>
  <c r="D98" i="5"/>
  <c r="E98" i="5"/>
  <c r="G98" i="5"/>
  <c r="P98" i="5"/>
  <c r="D99" i="5"/>
  <c r="E99" i="5"/>
  <c r="G99" i="5"/>
  <c r="P99" i="5"/>
  <c r="D100" i="5"/>
  <c r="E100" i="5"/>
  <c r="G100" i="5"/>
  <c r="P100" i="5"/>
  <c r="D101" i="5"/>
  <c r="E101" i="5"/>
  <c r="G101" i="5"/>
  <c r="P101" i="5"/>
  <c r="D102" i="5"/>
  <c r="E102" i="5"/>
  <c r="G102" i="5"/>
  <c r="P102" i="5"/>
  <c r="D103" i="5"/>
  <c r="E103" i="5"/>
  <c r="G103" i="5"/>
  <c r="P103" i="5"/>
  <c r="D104" i="5"/>
  <c r="E104" i="5"/>
  <c r="G104" i="5"/>
  <c r="P104" i="5"/>
  <c r="D105" i="5"/>
  <c r="E105" i="5"/>
  <c r="G105" i="5"/>
  <c r="P105" i="5"/>
  <c r="D106" i="5"/>
  <c r="E106" i="5"/>
  <c r="G106" i="5"/>
  <c r="P106" i="5"/>
  <c r="D107" i="5"/>
  <c r="E107" i="5"/>
  <c r="G107" i="5"/>
  <c r="P107" i="5"/>
  <c r="D108" i="5"/>
  <c r="E108" i="5"/>
  <c r="G108" i="5"/>
  <c r="P108" i="5"/>
  <c r="D109" i="5"/>
  <c r="E109" i="5"/>
  <c r="G109" i="5"/>
  <c r="P109" i="5"/>
  <c r="D110" i="5"/>
  <c r="E110" i="5"/>
  <c r="G110" i="5"/>
  <c r="P110" i="5"/>
  <c r="D111" i="5"/>
  <c r="E111" i="5"/>
  <c r="G111" i="5"/>
  <c r="P111" i="5"/>
  <c r="D112" i="5"/>
  <c r="E112" i="5"/>
  <c r="G112" i="5"/>
  <c r="P112" i="5"/>
  <c r="D113" i="5"/>
  <c r="E113" i="5"/>
  <c r="G113" i="5"/>
  <c r="P113" i="5"/>
  <c r="D114" i="5"/>
  <c r="E114" i="5"/>
  <c r="G114" i="5"/>
  <c r="P114" i="5"/>
  <c r="P94" i="5"/>
  <c r="G94" i="5"/>
  <c r="E94" i="5"/>
  <c r="D94" i="5"/>
  <c r="C49" i="5"/>
  <c r="D49" i="5"/>
  <c r="E49" i="5"/>
  <c r="G49" i="5"/>
  <c r="P49" i="5"/>
  <c r="C50" i="5"/>
  <c r="D50" i="5"/>
  <c r="E50" i="5"/>
  <c r="G50" i="5"/>
  <c r="P50" i="5"/>
  <c r="C51" i="5"/>
  <c r="D51" i="5"/>
  <c r="E51" i="5"/>
  <c r="G51" i="5"/>
  <c r="P51" i="5"/>
  <c r="C52" i="5"/>
  <c r="D52" i="5"/>
  <c r="E52" i="5"/>
  <c r="G52" i="5"/>
  <c r="P52" i="5"/>
  <c r="C53" i="5"/>
  <c r="D53" i="5"/>
  <c r="E53" i="5"/>
  <c r="G53" i="5"/>
  <c r="P53" i="5"/>
  <c r="C54" i="5"/>
  <c r="D54" i="5"/>
  <c r="E54" i="5"/>
  <c r="G54" i="5"/>
  <c r="P54" i="5"/>
  <c r="C55" i="5"/>
  <c r="D55" i="5"/>
  <c r="E55" i="5"/>
  <c r="G55" i="5"/>
  <c r="P55" i="5"/>
  <c r="C56" i="5"/>
  <c r="D56" i="5"/>
  <c r="E56" i="5"/>
  <c r="G56" i="5"/>
  <c r="P56" i="5"/>
  <c r="C57" i="5"/>
  <c r="D57" i="5"/>
  <c r="E57" i="5"/>
  <c r="G57" i="5"/>
  <c r="P57" i="5"/>
  <c r="C58" i="5"/>
  <c r="D58" i="5"/>
  <c r="E58" i="5"/>
  <c r="G58" i="5"/>
  <c r="P58" i="5"/>
  <c r="C59" i="5"/>
  <c r="D59" i="5"/>
  <c r="E59" i="5"/>
  <c r="G59" i="5"/>
  <c r="P59" i="5"/>
  <c r="C60" i="5"/>
  <c r="D60" i="5"/>
  <c r="E60" i="5"/>
  <c r="G60" i="5"/>
  <c r="P60" i="5"/>
  <c r="C61" i="5"/>
  <c r="D61" i="5"/>
  <c r="E61" i="5"/>
  <c r="G61" i="5"/>
  <c r="P61" i="5"/>
  <c r="C62" i="5"/>
  <c r="D62" i="5"/>
  <c r="E62" i="5"/>
  <c r="G62" i="5"/>
  <c r="P62" i="5"/>
  <c r="C63" i="5"/>
  <c r="D63" i="5"/>
  <c r="E63" i="5"/>
  <c r="G63" i="5"/>
  <c r="P63" i="5"/>
  <c r="C64" i="5"/>
  <c r="D64" i="5"/>
  <c r="E64" i="5"/>
  <c r="G64" i="5"/>
  <c r="P64" i="5"/>
  <c r="C65" i="5"/>
  <c r="D65" i="5"/>
  <c r="E65" i="5"/>
  <c r="G65" i="5"/>
  <c r="P65" i="5"/>
  <c r="C66" i="5"/>
  <c r="D66" i="5"/>
  <c r="E66" i="5"/>
  <c r="G66" i="5"/>
  <c r="P66" i="5"/>
  <c r="C67" i="5"/>
  <c r="D67" i="5"/>
  <c r="E67" i="5"/>
  <c r="G67" i="5"/>
  <c r="P67" i="5"/>
  <c r="C68" i="5"/>
  <c r="D68" i="5"/>
  <c r="E68" i="5"/>
  <c r="G68" i="5"/>
  <c r="P68" i="5"/>
  <c r="C69" i="5"/>
  <c r="D69" i="5"/>
  <c r="E69" i="5"/>
  <c r="G69" i="5"/>
  <c r="P69" i="5"/>
  <c r="C70" i="5"/>
  <c r="D70" i="5"/>
  <c r="E70" i="5"/>
  <c r="G70" i="5"/>
  <c r="P70" i="5"/>
  <c r="C71" i="5"/>
  <c r="D71" i="5"/>
  <c r="E71" i="5"/>
  <c r="G71" i="5"/>
  <c r="P71" i="5"/>
  <c r="C72" i="5"/>
  <c r="D72" i="5"/>
  <c r="E72" i="5"/>
  <c r="G72" i="5"/>
  <c r="P72" i="5"/>
  <c r="C73" i="5"/>
  <c r="D73" i="5"/>
  <c r="E73" i="5"/>
  <c r="G73" i="5"/>
  <c r="P73" i="5"/>
  <c r="C74" i="5"/>
  <c r="D74" i="5"/>
  <c r="E74" i="5"/>
  <c r="G74" i="5"/>
  <c r="P74" i="5"/>
  <c r="C75" i="5"/>
  <c r="D75" i="5"/>
  <c r="E75" i="5"/>
  <c r="G75" i="5"/>
  <c r="P75" i="5"/>
  <c r="C76" i="5"/>
  <c r="D76" i="5"/>
  <c r="E76" i="5"/>
  <c r="G76" i="5"/>
  <c r="P76" i="5"/>
  <c r="C77" i="5"/>
  <c r="D77" i="5"/>
  <c r="E77" i="5"/>
  <c r="G77" i="5"/>
  <c r="P77" i="5"/>
  <c r="C78" i="5"/>
  <c r="D78" i="5"/>
  <c r="E78" i="5"/>
  <c r="G78" i="5"/>
  <c r="P78" i="5"/>
  <c r="C79" i="5"/>
  <c r="D79" i="5"/>
  <c r="E79" i="5"/>
  <c r="G79" i="5"/>
  <c r="P79" i="5"/>
  <c r="C80" i="5"/>
  <c r="D80" i="5"/>
  <c r="E80" i="5"/>
  <c r="G80" i="5"/>
  <c r="P80" i="5"/>
  <c r="C81" i="5"/>
  <c r="D81" i="5"/>
  <c r="E81" i="5"/>
  <c r="G81" i="5"/>
  <c r="P81" i="5"/>
  <c r="C82" i="5"/>
  <c r="D82" i="5"/>
  <c r="E82" i="5"/>
  <c r="G82" i="5"/>
  <c r="P82" i="5"/>
  <c r="C83" i="5"/>
  <c r="D83" i="5"/>
  <c r="E83" i="5"/>
  <c r="G83" i="5"/>
  <c r="P83" i="5"/>
  <c r="C84" i="5"/>
  <c r="D84" i="5"/>
  <c r="E84" i="5"/>
  <c r="G84" i="5"/>
  <c r="P84" i="5"/>
  <c r="C85" i="5"/>
  <c r="D85" i="5"/>
  <c r="E85" i="5"/>
  <c r="G85" i="5"/>
  <c r="P85" i="5"/>
  <c r="C86" i="5"/>
  <c r="D86" i="5"/>
  <c r="E86" i="5"/>
  <c r="G86" i="5"/>
  <c r="P86" i="5"/>
  <c r="C87" i="5"/>
  <c r="D87" i="5"/>
  <c r="E87" i="5"/>
  <c r="G87" i="5"/>
  <c r="P87" i="5"/>
  <c r="C88" i="5"/>
  <c r="D88" i="5"/>
  <c r="E88" i="5"/>
  <c r="G88" i="5"/>
  <c r="P88" i="5"/>
  <c r="C89" i="5"/>
  <c r="D89" i="5"/>
  <c r="E89" i="5"/>
  <c r="G89" i="5"/>
  <c r="P89" i="5"/>
  <c r="C90" i="5"/>
  <c r="D90" i="5"/>
  <c r="E90" i="5"/>
  <c r="G90" i="5"/>
  <c r="P90" i="5"/>
  <c r="C91" i="5"/>
  <c r="D91" i="5"/>
  <c r="E91" i="5"/>
  <c r="G91" i="5"/>
  <c r="P91" i="5"/>
  <c r="C92" i="5"/>
  <c r="D92" i="5"/>
  <c r="E92" i="5"/>
  <c r="G92" i="5"/>
  <c r="P92" i="5"/>
  <c r="C93" i="5"/>
  <c r="D93" i="5"/>
  <c r="E93" i="5"/>
  <c r="G93" i="5"/>
  <c r="P93" i="5"/>
  <c r="P48" i="5"/>
  <c r="G48" i="5"/>
  <c r="C48" i="5"/>
  <c r="E48" i="5"/>
  <c r="D48" i="5"/>
  <c r="C3" i="5"/>
  <c r="D3" i="5"/>
  <c r="E3" i="5"/>
  <c r="G3" i="5"/>
  <c r="P3" i="5"/>
  <c r="C4" i="5"/>
  <c r="D4" i="5"/>
  <c r="E4" i="5"/>
  <c r="G4" i="5"/>
  <c r="P4" i="5"/>
  <c r="C5" i="5"/>
  <c r="D5" i="5"/>
  <c r="E5" i="5"/>
  <c r="G5" i="5"/>
  <c r="P5" i="5"/>
  <c r="C6" i="5"/>
  <c r="D6" i="5"/>
  <c r="E6" i="5"/>
  <c r="G6" i="5"/>
  <c r="P6" i="5"/>
  <c r="C7" i="5"/>
  <c r="D7" i="5"/>
  <c r="E7" i="5"/>
  <c r="G7" i="5"/>
  <c r="P7" i="5"/>
  <c r="C8" i="5"/>
  <c r="D8" i="5"/>
  <c r="E8" i="5"/>
  <c r="G8" i="5"/>
  <c r="P8" i="5"/>
  <c r="C9" i="5"/>
  <c r="D9" i="5"/>
  <c r="E9" i="5"/>
  <c r="G9" i="5"/>
  <c r="P9" i="5"/>
  <c r="C10" i="5"/>
  <c r="D10" i="5"/>
  <c r="E10" i="5"/>
  <c r="G10" i="5"/>
  <c r="P10" i="5"/>
  <c r="C11" i="5"/>
  <c r="D11" i="5"/>
  <c r="E11" i="5"/>
  <c r="G11" i="5"/>
  <c r="P11" i="5"/>
  <c r="C12" i="5"/>
  <c r="D12" i="5"/>
  <c r="E12" i="5"/>
  <c r="G12" i="5"/>
  <c r="P12" i="5"/>
  <c r="C13" i="5"/>
  <c r="D13" i="5"/>
  <c r="E13" i="5"/>
  <c r="G13" i="5"/>
  <c r="P13" i="5"/>
  <c r="C14" i="5"/>
  <c r="D14" i="5"/>
  <c r="E14" i="5"/>
  <c r="G14" i="5"/>
  <c r="P14" i="5"/>
  <c r="C15" i="5"/>
  <c r="D15" i="5"/>
  <c r="E15" i="5"/>
  <c r="G15" i="5"/>
  <c r="P15" i="5"/>
  <c r="C16" i="5"/>
  <c r="D16" i="5"/>
  <c r="E16" i="5"/>
  <c r="G16" i="5"/>
  <c r="P16" i="5"/>
  <c r="C17" i="5"/>
  <c r="D17" i="5"/>
  <c r="E17" i="5"/>
  <c r="G17" i="5"/>
  <c r="P17" i="5"/>
  <c r="C18" i="5"/>
  <c r="D18" i="5"/>
  <c r="E18" i="5"/>
  <c r="G18" i="5"/>
  <c r="P18" i="5"/>
  <c r="C19" i="5"/>
  <c r="D19" i="5"/>
  <c r="E19" i="5"/>
  <c r="G19" i="5"/>
  <c r="P19" i="5"/>
  <c r="C20" i="5"/>
  <c r="D20" i="5"/>
  <c r="E20" i="5"/>
  <c r="G20" i="5"/>
  <c r="P20" i="5"/>
  <c r="C21" i="5"/>
  <c r="D21" i="5"/>
  <c r="E21" i="5"/>
  <c r="G21" i="5"/>
  <c r="P21" i="5"/>
  <c r="C22" i="5"/>
  <c r="D22" i="5"/>
  <c r="E22" i="5"/>
  <c r="G22" i="5"/>
  <c r="P22" i="5"/>
  <c r="C23" i="5"/>
  <c r="D23" i="5"/>
  <c r="E23" i="5"/>
  <c r="G23" i="5"/>
  <c r="P23" i="5"/>
  <c r="C24" i="5"/>
  <c r="D24" i="5"/>
  <c r="E24" i="5"/>
  <c r="G24" i="5"/>
  <c r="P24" i="5"/>
  <c r="C25" i="5"/>
  <c r="D25" i="5"/>
  <c r="E25" i="5"/>
  <c r="G25" i="5"/>
  <c r="P25" i="5"/>
  <c r="C26" i="5"/>
  <c r="D26" i="5"/>
  <c r="E26" i="5"/>
  <c r="G26" i="5"/>
  <c r="P26" i="5"/>
  <c r="C27" i="5"/>
  <c r="D27" i="5"/>
  <c r="E27" i="5"/>
  <c r="G27" i="5"/>
  <c r="P27" i="5"/>
  <c r="C28" i="5"/>
  <c r="D28" i="5"/>
  <c r="E28" i="5"/>
  <c r="G28" i="5"/>
  <c r="P28" i="5"/>
  <c r="C29" i="5"/>
  <c r="D29" i="5"/>
  <c r="E29" i="5"/>
  <c r="G29" i="5"/>
  <c r="P29" i="5"/>
  <c r="C30" i="5"/>
  <c r="D30" i="5"/>
  <c r="E30" i="5"/>
  <c r="G30" i="5"/>
  <c r="P30" i="5"/>
  <c r="C31" i="5"/>
  <c r="D31" i="5"/>
  <c r="E31" i="5"/>
  <c r="G31" i="5"/>
  <c r="P31" i="5"/>
  <c r="C32" i="5"/>
  <c r="D32" i="5"/>
  <c r="E32" i="5"/>
  <c r="G32" i="5"/>
  <c r="P32" i="5"/>
  <c r="C33" i="5"/>
  <c r="D33" i="5"/>
  <c r="E33" i="5"/>
  <c r="G33" i="5"/>
  <c r="P33" i="5"/>
  <c r="C34" i="5"/>
  <c r="D34" i="5"/>
  <c r="E34" i="5"/>
  <c r="G34" i="5"/>
  <c r="P34" i="5"/>
  <c r="C35" i="5"/>
  <c r="D35" i="5"/>
  <c r="E35" i="5"/>
  <c r="G35" i="5"/>
  <c r="P35" i="5"/>
  <c r="C36" i="5"/>
  <c r="D36" i="5"/>
  <c r="E36" i="5"/>
  <c r="G36" i="5"/>
  <c r="P36" i="5"/>
  <c r="C37" i="5"/>
  <c r="D37" i="5"/>
  <c r="E37" i="5"/>
  <c r="G37" i="5"/>
  <c r="P37" i="5"/>
  <c r="C38" i="5"/>
  <c r="D38" i="5"/>
  <c r="E38" i="5"/>
  <c r="G38" i="5"/>
  <c r="P38" i="5"/>
  <c r="C39" i="5"/>
  <c r="D39" i="5"/>
  <c r="E39" i="5"/>
  <c r="G39" i="5"/>
  <c r="P39" i="5"/>
  <c r="C40" i="5"/>
  <c r="D40" i="5"/>
  <c r="E40" i="5"/>
  <c r="G40" i="5"/>
  <c r="P40" i="5"/>
  <c r="C41" i="5"/>
  <c r="D41" i="5"/>
  <c r="E41" i="5"/>
  <c r="G41" i="5"/>
  <c r="P41" i="5"/>
  <c r="C42" i="5"/>
  <c r="D42" i="5"/>
  <c r="E42" i="5"/>
  <c r="G42" i="5"/>
  <c r="P42" i="5"/>
  <c r="C43" i="5"/>
  <c r="D43" i="5"/>
  <c r="E43" i="5"/>
  <c r="G43" i="5"/>
  <c r="P43" i="5"/>
  <c r="C44" i="5"/>
  <c r="D44" i="5"/>
  <c r="E44" i="5"/>
  <c r="G44" i="5"/>
  <c r="P44" i="5"/>
  <c r="C45" i="5"/>
  <c r="D45" i="5"/>
  <c r="E45" i="5"/>
  <c r="G45" i="5"/>
  <c r="P45" i="5"/>
  <c r="C46" i="5"/>
  <c r="D46" i="5"/>
  <c r="E46" i="5"/>
  <c r="G46" i="5"/>
  <c r="P46" i="5"/>
  <c r="C47" i="5"/>
  <c r="D47" i="5"/>
  <c r="E47" i="5"/>
  <c r="G47" i="5"/>
  <c r="P47" i="5"/>
  <c r="P2" i="5"/>
  <c r="G2" i="5"/>
  <c r="E2" i="5"/>
  <c r="C2" i="5"/>
  <c r="D2" i="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<sst xmlns="http://schemas.openxmlformats.org/spreadsheetml/2006/main" count="2696" uniqueCount="355">
  <si>
    <t>Sea - China to VVO/VYP</t>
  </si>
  <si>
    <t>POL</t>
  </si>
  <si>
    <t>POD</t>
  </si>
  <si>
    <t>Carrier</t>
  </si>
  <si>
    <t>ETD</t>
  </si>
  <si>
    <t>Later shipping date 
(price needs to be recalculated)</t>
  </si>
  <si>
    <t>HONG KONG</t>
  </si>
  <si>
    <t>VLADIVISTOK COMMERCIAL/FISHERY</t>
  </si>
  <si>
    <t>SINOKOR</t>
  </si>
  <si>
    <t>NANSHA</t>
  </si>
  <si>
    <t>Vrangel Bay (VOSTOCHNY)</t>
  </si>
  <si>
    <t>STF(CSTAR)</t>
  </si>
  <si>
    <t>4.29</t>
  </si>
  <si>
    <t>VIA HONG KONG</t>
  </si>
  <si>
    <t>VLADIVISTOK COMMERCIAL</t>
  </si>
  <si>
    <t>FESCO</t>
  </si>
  <si>
    <t>SEHKOU</t>
  </si>
  <si>
    <t>YANTIAN</t>
  </si>
  <si>
    <t>4.28</t>
  </si>
  <si>
    <t>XIAMEN</t>
  </si>
  <si>
    <t>HEUNG-A/SINOKOR</t>
  </si>
  <si>
    <t>4.18</t>
  </si>
  <si>
    <t>SHANGHAI</t>
  </si>
  <si>
    <t>HEUNG-A</t>
  </si>
  <si>
    <t>4.21</t>
  </si>
  <si>
    <t>SCO</t>
  </si>
  <si>
    <t>4.20</t>
  </si>
  <si>
    <t>PING AN</t>
  </si>
  <si>
    <t>TAICANG</t>
  </si>
  <si>
    <t>SWIFT LINE</t>
  </si>
  <si>
    <t>NINGBO</t>
  </si>
  <si>
    <t>GANG TONG</t>
  </si>
  <si>
    <t>HUA XIN</t>
  </si>
  <si>
    <t>VLADIVISTOK FISH PORT</t>
  </si>
  <si>
    <t>RIZHAO</t>
  </si>
  <si>
    <t>QINGDAO</t>
  </si>
  <si>
    <t>YOU LIAN</t>
  </si>
  <si>
    <t>via RIZHAO</t>
  </si>
  <si>
    <t>VLADIVISTOK FISH PORT/SOLLER</t>
  </si>
  <si>
    <t>CAREN</t>
  </si>
  <si>
    <t>4.22</t>
  </si>
  <si>
    <t>TIANJIN</t>
  </si>
  <si>
    <t>4.25</t>
  </si>
  <si>
    <t>DALIAN</t>
  </si>
  <si>
    <t>4.26</t>
  </si>
  <si>
    <t>Remark:</t>
  </si>
  <si>
    <t>FOB terms
1. All prices above include DTHC DDF
2. SOC bare cargo space is pure freight without boxes
3. COC includes boxes, no charge for returning to Moscow, please inquire for returning to other locations
4. 20GP empty drop off  to Moscow/Yekaterinburg/Vladivostok is free</t>
  </si>
  <si>
    <t>PS：</t>
  </si>
  <si>
    <t>If you have any inquiry or actual order, please verify with me again~~</t>
  </si>
  <si>
    <t>Sea - China to STP</t>
  </si>
  <si>
    <t>FILO
20GP (USD)
SOC</t>
  </si>
  <si>
    <t>FILO
40HQ (USD)
SOC</t>
  </si>
  <si>
    <t>FILO
20GP (USD)
COC</t>
  </si>
  <si>
    <t>FILO
40HQ (USD)
COC</t>
  </si>
  <si>
    <t>St.PETERSBURG(PLP)</t>
  </si>
  <si>
    <t>SAFETRANS</t>
  </si>
  <si>
    <t>-</t>
  </si>
  <si>
    <t>MODUL</t>
  </si>
  <si>
    <t>St.PETERSBURG(FCT)</t>
  </si>
  <si>
    <t>VIA RIZHAO</t>
  </si>
  <si>
    <t>NNS/JUNAN</t>
  </si>
  <si>
    <t>VIA NANSHA</t>
  </si>
  <si>
    <t>St.PETERSBURG(Bronka)</t>
  </si>
  <si>
    <t>St.PETERSBURG(CTSP)</t>
  </si>
  <si>
    <t>MOHILL</t>
  </si>
  <si>
    <t>CSTAR（VIA Evyap）</t>
  </si>
  <si>
    <t>St.PETERSBURG</t>
  </si>
  <si>
    <t>REEL SHIPPING</t>
  </si>
  <si>
    <t>VIA Nhava Sheva</t>
  </si>
  <si>
    <t>VIA INNSA</t>
  </si>
  <si>
    <t>VIA QINGDAO</t>
  </si>
  <si>
    <t>1. All prices above include DTHC DDF
2. SOC is pure freight without box
3. COC includes shipping company box, free of cntr for 14 days at port
4. FESCO, DDF: USD115 needs to be paid on delivery, the table already includes</t>
  </si>
  <si>
    <t>NOVOROSSIYSK Price</t>
  </si>
  <si>
    <t xml:space="preserve">POL </t>
  </si>
  <si>
    <t>COC RATE</t>
  </si>
  <si>
    <t>FREE TIME</t>
  </si>
  <si>
    <t>VIA</t>
  </si>
  <si>
    <t>T/T</t>
  </si>
  <si>
    <t>Remark</t>
  </si>
  <si>
    <t xml:space="preserve">AKKON </t>
  </si>
  <si>
    <t>3300/4800</t>
  </si>
  <si>
    <t>14</t>
  </si>
  <si>
    <t>GEMLIK</t>
  </si>
  <si>
    <t>48</t>
  </si>
  <si>
    <t xml:space="preserve"> the max for 20'GP is:23TON Overweight charge+USD100 </t>
  </si>
  <si>
    <t>4.23</t>
  </si>
  <si>
    <t>Cstar</t>
  </si>
  <si>
    <t>3225/4650</t>
  </si>
  <si>
    <t>lzmit</t>
  </si>
  <si>
    <t>55-65</t>
  </si>
  <si>
    <t xml:space="preserve">No need for OWS, the max for 20'GP is: 27 tons </t>
  </si>
  <si>
    <t>4.27</t>
  </si>
  <si>
    <t>UGL</t>
  </si>
  <si>
    <t>3050/4500</t>
  </si>
  <si>
    <t>50-60</t>
  </si>
  <si>
    <t>Safetrans</t>
  </si>
  <si>
    <t>Singapore</t>
  </si>
  <si>
    <t>4400/7100</t>
  </si>
  <si>
    <t>2025.4.15-4.30</t>
  </si>
  <si>
    <t>PKL and DEKHEILA</t>
  </si>
  <si>
    <t>60-65</t>
  </si>
  <si>
    <t>Port Klang</t>
  </si>
  <si>
    <t>3600/5500</t>
  </si>
  <si>
    <t>TUE</t>
  </si>
  <si>
    <t>DEKHEILA</t>
  </si>
  <si>
    <t>Penang</t>
  </si>
  <si>
    <t>3750/5800</t>
  </si>
  <si>
    <t>Pasir Gudang</t>
  </si>
  <si>
    <t>3850/6000</t>
  </si>
  <si>
    <t>Ho Chi Minh</t>
  </si>
  <si>
    <t>MON/TUE</t>
  </si>
  <si>
    <t>Haiphong</t>
  </si>
  <si>
    <t>3700/5700</t>
  </si>
  <si>
    <t>SAT/SUN</t>
  </si>
  <si>
    <t>Laem Chabang</t>
  </si>
  <si>
    <t>TUE/WED</t>
  </si>
  <si>
    <t>Jakarta</t>
  </si>
  <si>
    <t>3800/5900</t>
  </si>
  <si>
    <t>WED/THU</t>
  </si>
  <si>
    <t>Surabaya/Semarang</t>
  </si>
  <si>
    <t>TUE/FRI</t>
  </si>
  <si>
    <t>1. Above rate based on FOB term, does not include the DTHC in Novorossiysk</t>
  </si>
  <si>
    <t>2. DTHC charge: AKKON: USD472/520, SAFETRANS: USD550/550 ,SINOKOR: USD550/650,UGL: DTHC520/550, ALINE:USD650+RLSUSD50,CSTAR:USD500/500</t>
  </si>
  <si>
    <t>3. Empty return to Novorossiysk for free, if need to return to other Russia city, check case by case.</t>
  </si>
  <si>
    <t>Departure city</t>
  </si>
  <si>
    <t>Route</t>
  </si>
  <si>
    <t>Destination</t>
  </si>
  <si>
    <t>EXW Term
Rate(USD/40HQ)</t>
  </si>
  <si>
    <t>Shanghai/Suzhou</t>
  </si>
  <si>
    <t>Zhengzhou station - Elian border - Moscow Elektrougli</t>
  </si>
  <si>
    <t>Moscow</t>
  </si>
  <si>
    <t>4.16/4.25/4.30</t>
  </si>
  <si>
    <t>Ningbo/Cixi</t>
  </si>
  <si>
    <t>Qingdao/Linyi</t>
  </si>
  <si>
    <t>Tianjin/Cangzhou</t>
  </si>
  <si>
    <t>Luoyang/Jiaozuo</t>
  </si>
  <si>
    <t>Xiamen</t>
  </si>
  <si>
    <t>Guangzhou</t>
  </si>
  <si>
    <t>Shenzhen</t>
  </si>
  <si>
    <t>Zhongshan</t>
  </si>
  <si>
    <t>Shijiazhuang/Hengshui/Tianjin</t>
  </si>
  <si>
    <t>Shijiazhuang station - Elian border - Moscow Elektrougli</t>
  </si>
  <si>
    <t>4.25/4.29</t>
  </si>
  <si>
    <t>Beijing</t>
  </si>
  <si>
    <t>Jianan/Qingdao</t>
  </si>
  <si>
    <t>Tengzhou</t>
  </si>
  <si>
    <t>Shanghai/Suzhou/Changzhou/Zhenjiang/Nantong</t>
  </si>
  <si>
    <t>Xuzhou station - Khorgos border - Manzhouli border - Moscow</t>
  </si>
  <si>
    <t>Tianjin</t>
  </si>
  <si>
    <t>Qingdao</t>
  </si>
  <si>
    <t>Tianjin/Binhai</t>
  </si>
  <si>
    <t>Tianjin station - Elian border - Moscow Bely rast</t>
  </si>
  <si>
    <t>4.17/4.24</t>
  </si>
  <si>
    <t>Qingdao/Shouguang/Zibo/Weifang</t>
  </si>
  <si>
    <t>Langfang/Cangzhou</t>
  </si>
  <si>
    <t>Tangshan</t>
  </si>
  <si>
    <t>Beijing/Shunyi/Tongzhou</t>
  </si>
  <si>
    <t>Ningbo</t>
  </si>
  <si>
    <t>Xingtai</t>
  </si>
  <si>
    <t>Jinan/Shouguang</t>
  </si>
  <si>
    <t>Chongqing</t>
  </si>
  <si>
    <t>Chongqing station - Alashankou/Khorgos border - Moscow Elektrougli/Selyatino</t>
  </si>
  <si>
    <t>4.16/4.19/4.23/4.26</t>
  </si>
  <si>
    <t>Complete loading 11 days before ETD</t>
  </si>
  <si>
    <t>Chengdu</t>
  </si>
  <si>
    <t>Shenzhen/Jiangmen/Qingyuan</t>
  </si>
  <si>
    <t>Foshan/Shunde/Zhongshan</t>
  </si>
  <si>
    <t>Huizhou/Zhaoqing/Zhuhai/Yunfu</t>
  </si>
  <si>
    <t>Shantou/Chaozhou</t>
  </si>
  <si>
    <t>Chengdu station - Manzhouli border - Moscow Elektrougli
Chengdu station - Elian border - Moscow Elektrougli</t>
  </si>
  <si>
    <t>4.18/4.21/4.25/4.29</t>
  </si>
  <si>
    <t>Complete loading 10 days before ETD</t>
  </si>
  <si>
    <t>Shanghai</t>
  </si>
  <si>
    <t>Foshan/Shunde/Dongguan/Zhongshan</t>
  </si>
  <si>
    <t>Jiangmen/Qingguan/Huizhou/Zhuhai</t>
  </si>
  <si>
    <t>Xiamen/Quanzhou</t>
  </si>
  <si>
    <t>Datian station - Elian border - Moscow Selyatino
Zengcheng station - Khorgos border - Moscow Elektrougli</t>
  </si>
  <si>
    <t>4.13/4.16/4.20/4.23/4.26/4.30</t>
  </si>
  <si>
    <t>Shenzhen/Dongguan/Zhongshan/Foshan</t>
  </si>
  <si>
    <t>Qingyuan/Zhaoqing</t>
  </si>
  <si>
    <t>Huizhou</t>
  </si>
  <si>
    <t>Shantou/Chaozhou/Jieyang</t>
  </si>
  <si>
    <t>Dalian</t>
  </si>
  <si>
    <t>Shenyang station- Manzhouli border - Moscow Bely rast</t>
  </si>
  <si>
    <t>4.15/4.20/4.23/4.28</t>
  </si>
  <si>
    <t>Shenyang</t>
  </si>
  <si>
    <t>Jinhua station - Manzhouli border - Moscow Selyatino</t>
  </si>
  <si>
    <t>Late April</t>
  </si>
  <si>
    <t>Shanghai/Suzhou/Cangzhou/Nanjing</t>
  </si>
  <si>
    <t>Xian station- Khorgos border - Moscow Elektrougli</t>
  </si>
  <si>
    <t>4.12/4.13/4.15/4.23</t>
  </si>
  <si>
    <t>Ningbo/Shaoxing/Hangzhou</t>
  </si>
  <si>
    <t>Jinhua/Wuyi/Yiwu/Yongkang</t>
  </si>
  <si>
    <t>Taizhou</t>
  </si>
  <si>
    <t>Wenzhou</t>
  </si>
  <si>
    <t>Qingdao/Linyi/Weifang/Shouguang</t>
  </si>
  <si>
    <t>Tianjin/Cangzhou/Jinan</t>
  </si>
  <si>
    <t>Xian</t>
  </si>
  <si>
    <t>Zhengzhou</t>
  </si>
  <si>
    <t>Chengdu station - Alashankou/Khorgos border - St.peterburg Shushary V</t>
  </si>
  <si>
    <t>St. Peterburg</t>
  </si>
  <si>
    <t>Ningbo/Jiaxing</t>
  </si>
  <si>
    <t>Wuxi</t>
  </si>
  <si>
    <t>Heze</t>
  </si>
  <si>
    <t>Shenzhen/Zhongshan/Dongguan</t>
  </si>
  <si>
    <t>Xian station - Khorgos border-St.peterburg Shushary</t>
  </si>
  <si>
    <t>Xuzhou station - Manzhouli border-St.peterburg Shushary L</t>
  </si>
  <si>
    <t>Chongqing station - Manzhouli border-St.peterburg Shushary</t>
  </si>
  <si>
    <t>Dongguan</t>
  </si>
  <si>
    <t>Zhuhai</t>
  </si>
  <si>
    <t>Shenzhen/Jiangmen/Zhongshan</t>
  </si>
  <si>
    <t>Foshan</t>
  </si>
  <si>
    <t>Jiaxing</t>
  </si>
  <si>
    <t>Jinhua station - Manzhouli border - St.peterburg Shushary</t>
  </si>
  <si>
    <t>Mid to late April</t>
  </si>
  <si>
    <t>Shaoxing</t>
  </si>
  <si>
    <t>Hangzhou</t>
  </si>
  <si>
    <t>Suzhou station - Manzhouli border - St.peterburg Shushary</t>
  </si>
  <si>
    <t>Suzhou</t>
  </si>
  <si>
    <t>Zengcheng station - Khorgos border -  St.peterburg Shushary</t>
  </si>
  <si>
    <t>4.18/4.28</t>
  </si>
  <si>
    <t>Shenzhen/Foshan/Donggguan/Zhongshan</t>
  </si>
  <si>
    <t>Shantou/Chaozou</t>
  </si>
  <si>
    <t>Chongqing station - Manzhouli border - Yekaterinburg</t>
  </si>
  <si>
    <t>Yekaterinburg</t>
  </si>
  <si>
    <t>Xuzhou station - Manzhouli border - Yekaterinburg</t>
  </si>
  <si>
    <t>Zengcheng station - Manzhouli border - Yekaterinburg</t>
  </si>
  <si>
    <t>4.08/4.12/4.18</t>
  </si>
  <si>
    <t>Zengcheng-Manzhouli border - Novosibirsk</t>
  </si>
  <si>
    <t>Novosibirsk</t>
  </si>
  <si>
    <t>Xuzhou station - Manzhouli border - Novosibirsk</t>
  </si>
  <si>
    <t>Chongqing station - Manzhouli border - Novosibirsk</t>
  </si>
  <si>
    <t>Shanghai/Suzhou/Jiaxing</t>
  </si>
  <si>
    <t>Chengdu station- Alashankou/Khorgos border-Minsk Kolyadichi</t>
  </si>
  <si>
    <t>Minsk</t>
  </si>
  <si>
    <t>4.22/4.24/
4.27/4.29/4.30</t>
  </si>
  <si>
    <t>Ningbo/Shaoxing/Yuyao</t>
  </si>
  <si>
    <t>Qingdao/Linyi/Weifang</t>
  </si>
  <si>
    <t>Tianjin/Cangzhou/Langfang</t>
  </si>
  <si>
    <t>Zhongshan/Foshan/Dongguan</t>
  </si>
  <si>
    <t>Qingyuan/Huizhou/Zhuhai</t>
  </si>
  <si>
    <t>Chaozhou/Shantou</t>
  </si>
  <si>
    <t>Xuzhou station - Manzhouli border - Minsk Kolyadichi</t>
  </si>
  <si>
    <t>Ningbo/Yuyao/Cixi</t>
  </si>
  <si>
    <t>Xian station - Khorgos border-Minsk Kolyadichi</t>
  </si>
  <si>
    <t>Shanghai/Taicang/Kunshan</t>
  </si>
  <si>
    <t>Qingdao/Jiaozhou</t>
  </si>
  <si>
    <t>Tianjin/Dezhou/Cangzhou</t>
  </si>
  <si>
    <t>Foshan/Qingyuan/Huizhou</t>
  </si>
  <si>
    <t>RATES FOR TRUCKING SERVICE FROM CHINA TO Russia/Belarus</t>
  </si>
  <si>
    <t>Type of goods:Carton cargo, general cargo, palletised cargo, equipment cargo</t>
  </si>
  <si>
    <r>
      <rPr>
        <b/>
        <sz val="16"/>
        <color theme="1"/>
        <rFont val="Times New Roman"/>
        <family val="1"/>
      </rPr>
      <t>Available truck Type</t>
    </r>
    <r>
      <rPr>
        <b/>
        <sz val="16"/>
        <color theme="1"/>
        <rFont val="黑体"/>
        <charset val="134"/>
      </rPr>
      <t>：</t>
    </r>
    <r>
      <rPr>
        <b/>
        <sz val="16"/>
        <color theme="1"/>
        <rFont val="Times New Roman"/>
        <family val="1"/>
      </rPr>
      <t>Box truck</t>
    </r>
    <r>
      <rPr>
        <b/>
        <sz val="16"/>
        <color theme="1"/>
        <rFont val="黑体"/>
        <charset val="134"/>
      </rPr>
      <t>（</t>
    </r>
    <r>
      <rPr>
        <b/>
        <sz val="16"/>
        <color theme="1"/>
        <rFont val="Times New Roman"/>
        <family val="1"/>
      </rPr>
      <t>82CBM,22TONS</t>
    </r>
    <r>
      <rPr>
        <b/>
        <sz val="16"/>
        <color theme="1"/>
        <rFont val="黑体"/>
        <charset val="134"/>
      </rPr>
      <t>）</t>
    </r>
    <r>
      <rPr>
        <b/>
        <sz val="16"/>
        <color theme="1"/>
        <rFont val="Times New Roman"/>
        <family val="1"/>
      </rPr>
      <t>/Tilt truck</t>
    </r>
    <r>
      <rPr>
        <b/>
        <sz val="16"/>
        <color theme="1"/>
        <rFont val="黑体"/>
        <charset val="134"/>
      </rPr>
      <t>（</t>
    </r>
    <r>
      <rPr>
        <b/>
        <sz val="16"/>
        <color theme="1"/>
        <rFont val="Times New Roman"/>
        <family val="1"/>
      </rPr>
      <t>82CBM,22TONS</t>
    </r>
    <r>
      <rPr>
        <b/>
        <sz val="16"/>
        <color theme="1"/>
        <rFont val="黑体"/>
        <charset val="134"/>
      </rPr>
      <t>）</t>
    </r>
  </si>
  <si>
    <t>Unloading City</t>
  </si>
  <si>
    <r>
      <rPr>
        <b/>
        <sz val="12"/>
        <color theme="1"/>
        <rFont val="Times New Roman"/>
        <family val="1"/>
      </rPr>
      <t>CN BORDER:Alashankou(</t>
    </r>
    <r>
      <rPr>
        <b/>
        <sz val="12"/>
        <color rgb="FFFF0000"/>
        <rFont val="Times New Roman"/>
        <family val="1"/>
      </rPr>
      <t>USD</t>
    </r>
    <r>
      <rPr>
        <b/>
        <sz val="12"/>
        <color theme="1"/>
        <rFont val="Times New Roman"/>
        <family val="1"/>
      </rPr>
      <t>)
Truck Type</t>
    </r>
    <r>
      <rPr>
        <b/>
        <sz val="12"/>
        <color theme="1"/>
        <rFont val="宋体"/>
        <charset val="134"/>
      </rPr>
      <t>：</t>
    </r>
    <r>
      <rPr>
        <b/>
        <sz val="12"/>
        <color theme="1"/>
        <rFont val="Times New Roman"/>
        <family val="1"/>
      </rPr>
      <t xml:space="preserve">
</t>
    </r>
    <r>
      <rPr>
        <b/>
        <sz val="12"/>
        <color rgb="FFFF0000"/>
        <rFont val="Times New Roman"/>
        <family val="1"/>
      </rPr>
      <t>Box truck</t>
    </r>
    <r>
      <rPr>
        <b/>
        <sz val="12"/>
        <color rgb="FFFF0000"/>
        <rFont val="宋体"/>
        <charset val="134"/>
      </rPr>
      <t>（</t>
    </r>
    <r>
      <rPr>
        <b/>
        <sz val="12"/>
        <color rgb="FFFF0000"/>
        <rFont val="Times New Roman"/>
        <family val="1"/>
      </rPr>
      <t>82CBM,22TONS</t>
    </r>
    <r>
      <rPr>
        <b/>
        <sz val="12"/>
        <color rgb="FFFF0000"/>
        <rFont val="宋体"/>
        <charset val="134"/>
      </rPr>
      <t>）</t>
    </r>
    <r>
      <rPr>
        <b/>
        <sz val="12"/>
        <color rgb="FFFF0000"/>
        <rFont val="Times New Roman"/>
        <family val="1"/>
      </rPr>
      <t xml:space="preserve">                        Tilt truck</t>
    </r>
    <r>
      <rPr>
        <b/>
        <sz val="12"/>
        <color rgb="FFFF0000"/>
        <rFont val="宋体"/>
        <charset val="134"/>
      </rPr>
      <t>（</t>
    </r>
    <r>
      <rPr>
        <b/>
        <sz val="12"/>
        <color rgb="FFFF0000"/>
        <rFont val="Times New Roman"/>
        <family val="1"/>
      </rPr>
      <t>82CBM,22TONS</t>
    </r>
    <r>
      <rPr>
        <b/>
        <sz val="12"/>
        <color rgb="FFFF0000"/>
        <rFont val="宋体"/>
        <charset val="134"/>
      </rPr>
      <t>）</t>
    </r>
  </si>
  <si>
    <t xml:space="preserve">TRANSIT TIME 
(DAYS) </t>
  </si>
  <si>
    <t>VIA PORT</t>
  </si>
  <si>
    <r>
      <rPr>
        <b/>
        <sz val="11"/>
        <color theme="1"/>
        <rFont val="黑体"/>
        <charset val="134"/>
      </rPr>
      <t>深圳</t>
    </r>
    <r>
      <rPr>
        <b/>
        <sz val="11"/>
        <color theme="1"/>
        <rFont val="Times New Roman"/>
        <family val="1"/>
      </rPr>
      <t>/</t>
    </r>
    <r>
      <rPr>
        <b/>
        <sz val="11"/>
        <color theme="1"/>
        <rFont val="黑体"/>
        <charset val="134"/>
      </rPr>
      <t>广州</t>
    </r>
    <r>
      <rPr>
        <b/>
        <sz val="11"/>
        <color theme="1"/>
        <rFont val="Times New Roman"/>
        <family val="1"/>
      </rPr>
      <t xml:space="preserve"> Shenzhen/Guangzhou</t>
    </r>
  </si>
  <si>
    <t>RUS</t>
  </si>
  <si>
    <r>
      <rPr>
        <b/>
        <sz val="11"/>
        <color theme="1"/>
        <rFont val="Times New Roman"/>
        <family val="1"/>
      </rPr>
      <t>Moscow</t>
    </r>
    <r>
      <rPr>
        <b/>
        <sz val="11"/>
        <color theme="1"/>
        <rFont val="宋体"/>
        <charset val="134"/>
      </rPr>
      <t>（</t>
    </r>
    <r>
      <rPr>
        <b/>
        <sz val="11"/>
        <color theme="1"/>
        <rFont val="Times New Roman"/>
        <family val="1"/>
      </rPr>
      <t>Москва</t>
    </r>
    <r>
      <rPr>
        <b/>
        <sz val="11"/>
        <color theme="1"/>
        <rFont val="宋体"/>
        <charset val="134"/>
      </rPr>
      <t>）</t>
    </r>
  </si>
  <si>
    <t>莫斯科</t>
  </si>
  <si>
    <t>18-20</t>
  </si>
  <si>
    <t>Erenhot</t>
  </si>
  <si>
    <r>
      <rPr>
        <b/>
        <sz val="11"/>
        <color theme="1"/>
        <rFont val="Times New Roman"/>
        <family val="1"/>
      </rPr>
      <t>St. Petersburg</t>
    </r>
    <r>
      <rPr>
        <b/>
        <sz val="11"/>
        <color theme="1"/>
        <rFont val="宋体"/>
        <charset val="134"/>
      </rPr>
      <t>（</t>
    </r>
    <r>
      <rPr>
        <b/>
        <sz val="11"/>
        <color theme="1"/>
        <rFont val="Times New Roman"/>
        <family val="1"/>
      </rPr>
      <t>Санкт-Петербург</t>
    </r>
    <r>
      <rPr>
        <b/>
        <sz val="11"/>
        <color theme="1"/>
        <rFont val="宋体"/>
        <charset val="134"/>
      </rPr>
      <t>）</t>
    </r>
  </si>
  <si>
    <t>圣彼得堡</t>
  </si>
  <si>
    <t>18-22</t>
  </si>
  <si>
    <r>
      <rPr>
        <b/>
        <sz val="11"/>
        <color theme="1"/>
        <rFont val="Times New Roman"/>
        <family val="1"/>
      </rPr>
      <t>Novosibirsk</t>
    </r>
    <r>
      <rPr>
        <b/>
        <sz val="11"/>
        <color theme="1"/>
        <rFont val="宋体"/>
        <charset val="134"/>
      </rPr>
      <t>（</t>
    </r>
    <r>
      <rPr>
        <b/>
        <sz val="11"/>
        <color theme="1"/>
        <rFont val="Times New Roman"/>
        <family val="1"/>
      </rPr>
      <t>Новосибирск</t>
    </r>
    <r>
      <rPr>
        <b/>
        <sz val="11"/>
        <color theme="1"/>
        <rFont val="宋体"/>
        <charset val="134"/>
      </rPr>
      <t>）</t>
    </r>
  </si>
  <si>
    <t>新西伯利亚</t>
  </si>
  <si>
    <t>BY</t>
  </si>
  <si>
    <r>
      <rPr>
        <b/>
        <sz val="11"/>
        <color theme="1"/>
        <rFont val="Times New Roman"/>
        <family val="1"/>
      </rPr>
      <t>Minsk</t>
    </r>
    <r>
      <rPr>
        <b/>
        <sz val="11"/>
        <color theme="1"/>
        <rFont val="宋体"/>
        <charset val="134"/>
      </rPr>
      <t>（</t>
    </r>
    <r>
      <rPr>
        <b/>
        <sz val="11"/>
        <color theme="1"/>
        <rFont val="Times New Roman"/>
        <family val="1"/>
      </rPr>
      <t>Минск</t>
    </r>
    <r>
      <rPr>
        <b/>
        <sz val="11"/>
        <color theme="1"/>
        <rFont val="宋体"/>
        <charset val="134"/>
      </rPr>
      <t>）</t>
    </r>
  </si>
  <si>
    <t>明斯克</t>
  </si>
  <si>
    <r>
      <rPr>
        <b/>
        <sz val="11"/>
        <color theme="1"/>
        <rFont val="Times New Roman"/>
        <family val="1"/>
      </rPr>
      <t>Chelyabinsk</t>
    </r>
    <r>
      <rPr>
        <b/>
        <sz val="11"/>
        <color theme="1"/>
        <rFont val="宋体"/>
        <charset val="134"/>
      </rPr>
      <t>（</t>
    </r>
    <r>
      <rPr>
        <b/>
        <sz val="11"/>
        <color theme="1"/>
        <rFont val="Times New Roman"/>
        <family val="1"/>
      </rPr>
      <t>Челябинск</t>
    </r>
    <r>
      <rPr>
        <b/>
        <sz val="11"/>
        <color theme="1"/>
        <rFont val="宋体"/>
        <charset val="134"/>
      </rPr>
      <t>）</t>
    </r>
  </si>
  <si>
    <t>车里雅宾斯克</t>
  </si>
  <si>
    <t>Nizhny Novgorod(Нижний Новгород)</t>
  </si>
  <si>
    <t>下诺夫哥罗德</t>
  </si>
  <si>
    <r>
      <rPr>
        <b/>
        <sz val="11"/>
        <color theme="1"/>
        <rFont val="Times New Roman"/>
        <family val="1"/>
      </rPr>
      <t>Krasnoyar</t>
    </r>
    <r>
      <rPr>
        <b/>
        <sz val="11"/>
        <color theme="1"/>
        <rFont val="宋体"/>
        <charset val="134"/>
      </rPr>
      <t>（</t>
    </r>
    <r>
      <rPr>
        <b/>
        <sz val="11"/>
        <color theme="1"/>
        <rFont val="Times New Roman"/>
        <family val="1"/>
      </rPr>
      <t>Краснояр</t>
    </r>
    <r>
      <rPr>
        <b/>
        <sz val="11"/>
        <color theme="1"/>
        <rFont val="宋体"/>
        <charset val="134"/>
      </rPr>
      <t>）</t>
    </r>
  </si>
  <si>
    <t>克拉斯诺亚尔</t>
  </si>
  <si>
    <t>15-18</t>
  </si>
  <si>
    <r>
      <rPr>
        <b/>
        <sz val="11"/>
        <color theme="1"/>
        <rFont val="宋体"/>
        <charset val="134"/>
      </rPr>
      <t>Irkutsk（</t>
    </r>
    <r>
      <rPr>
        <b/>
        <sz val="11"/>
        <color theme="1"/>
        <rFont val="Times New Roman"/>
        <family val="1"/>
      </rPr>
      <t>Иркутск</t>
    </r>
    <r>
      <rPr>
        <b/>
        <sz val="11"/>
        <color theme="1"/>
        <rFont val="宋体"/>
        <charset val="134"/>
      </rPr>
      <t>）</t>
    </r>
  </si>
  <si>
    <t>伊尔库茨克</t>
  </si>
  <si>
    <r>
      <rPr>
        <b/>
        <sz val="11"/>
        <color theme="1"/>
        <rFont val="Times New Roman"/>
        <family val="1"/>
      </rPr>
      <t>Novokuznetsk</t>
    </r>
    <r>
      <rPr>
        <b/>
        <sz val="11"/>
        <color theme="1"/>
        <rFont val="宋体"/>
        <charset val="134"/>
      </rPr>
      <t>（</t>
    </r>
    <r>
      <rPr>
        <b/>
        <sz val="11"/>
        <color theme="1"/>
        <rFont val="Times New Roman"/>
        <family val="1"/>
      </rPr>
      <t>Новокузнецк</t>
    </r>
    <r>
      <rPr>
        <b/>
        <sz val="11"/>
        <color theme="1"/>
        <rFont val="宋体"/>
        <charset val="134"/>
      </rPr>
      <t>）</t>
    </r>
  </si>
  <si>
    <t>新库茨涅茨克</t>
  </si>
  <si>
    <r>
      <rPr>
        <b/>
        <sz val="11"/>
        <color theme="1"/>
        <rFont val="黑体"/>
        <charset val="134"/>
      </rPr>
      <t>厦门</t>
    </r>
    <r>
      <rPr>
        <b/>
        <sz val="11"/>
        <color theme="1"/>
        <rFont val="Times New Roman"/>
        <family val="1"/>
      </rPr>
      <t xml:space="preserve"> Xiamen</t>
    </r>
  </si>
  <si>
    <r>
      <rPr>
        <b/>
        <sz val="11"/>
        <color theme="1"/>
        <rFont val="黑体"/>
        <charset val="134"/>
      </rPr>
      <t>宁波</t>
    </r>
    <r>
      <rPr>
        <b/>
        <sz val="11"/>
        <color theme="1"/>
        <rFont val="Times New Roman"/>
        <family val="1"/>
      </rPr>
      <t xml:space="preserve"> Ningbo</t>
    </r>
  </si>
  <si>
    <r>
      <rPr>
        <b/>
        <sz val="11"/>
        <color theme="1"/>
        <rFont val="黑体"/>
        <charset val="134"/>
      </rPr>
      <t>上海</t>
    </r>
    <r>
      <rPr>
        <b/>
        <sz val="11"/>
        <color theme="1"/>
        <rFont val="Times New Roman"/>
        <family val="1"/>
      </rPr>
      <t xml:space="preserve"> Shanghai</t>
    </r>
  </si>
  <si>
    <r>
      <rPr>
        <b/>
        <sz val="11"/>
        <color theme="1"/>
        <rFont val="黑体"/>
        <charset val="134"/>
      </rPr>
      <t>青岛</t>
    </r>
    <r>
      <rPr>
        <b/>
        <sz val="11"/>
        <color theme="1"/>
        <rFont val="Times New Roman"/>
        <family val="1"/>
      </rPr>
      <t xml:space="preserve"> Qingdao</t>
    </r>
  </si>
  <si>
    <r>
      <rPr>
        <b/>
        <sz val="11"/>
        <color theme="1"/>
        <rFont val="黑体"/>
        <charset val="134"/>
      </rPr>
      <t>天津</t>
    </r>
    <r>
      <rPr>
        <b/>
        <sz val="11"/>
        <color theme="1"/>
        <rFont val="Times New Roman"/>
        <family val="1"/>
      </rPr>
      <t xml:space="preserve"> Tianjin</t>
    </r>
  </si>
  <si>
    <r>
      <rPr>
        <b/>
        <sz val="11"/>
        <color theme="1"/>
        <rFont val="黑体"/>
        <charset val="134"/>
      </rPr>
      <t>大连</t>
    </r>
    <r>
      <rPr>
        <b/>
        <sz val="11"/>
        <color theme="1"/>
        <rFont val="Times New Roman"/>
        <family val="1"/>
      </rPr>
      <t xml:space="preserve"> Dalian</t>
    </r>
  </si>
  <si>
    <r>
      <rPr>
        <b/>
        <sz val="11"/>
        <color theme="1"/>
        <rFont val="黑体"/>
        <charset val="134"/>
      </rPr>
      <t>武汉</t>
    </r>
    <r>
      <rPr>
        <b/>
        <sz val="11"/>
        <color theme="1"/>
        <rFont val="Times New Roman"/>
        <family val="1"/>
      </rPr>
      <t xml:space="preserve"> Wuhan</t>
    </r>
  </si>
  <si>
    <r>
      <rPr>
        <b/>
        <sz val="11"/>
        <color theme="1"/>
        <rFont val="黑体"/>
        <charset val="134"/>
      </rPr>
      <t>重庆</t>
    </r>
    <r>
      <rPr>
        <b/>
        <sz val="11"/>
        <color theme="1"/>
        <rFont val="Times New Roman"/>
        <family val="1"/>
      </rPr>
      <t xml:space="preserve"> Chongqing</t>
    </r>
  </si>
  <si>
    <t>To Moscow
USD/40HQ</t>
  </si>
  <si>
    <t>To St. Petersburg
USD/40HQ</t>
  </si>
  <si>
    <t>To Minsk
USD/40HQ</t>
  </si>
  <si>
    <t>TT/DAY</t>
  </si>
  <si>
    <t>FOB Hanoi Station</t>
  </si>
  <si>
    <t>FOB Hochiminh Station</t>
  </si>
  <si>
    <t>FOB Hai Phong</t>
  </si>
  <si>
    <t>FOB Hochiminh City</t>
  </si>
  <si>
    <t>FOB Singapore</t>
  </si>
  <si>
    <t>FOB Laem Chabang/Bangkok</t>
  </si>
  <si>
    <t>FOB Keelung/Kaohsiung/Taichung</t>
  </si>
  <si>
    <t>FOB Pasir Gudang/Penang/Klang</t>
  </si>
  <si>
    <t>FOB Tokyo/Osaka</t>
  </si>
  <si>
    <t>FOB Colombo</t>
  </si>
  <si>
    <t>FOB Hong Kong</t>
  </si>
  <si>
    <t>FOB Sihanoukville</t>
  </si>
  <si>
    <t>FOB Karachi</t>
  </si>
  <si>
    <t>FOB Manila/Cebu</t>
  </si>
  <si>
    <t>FOB Surabaya/Semarang/Jakarta</t>
  </si>
  <si>
    <t>FOB Busan/Inchon</t>
  </si>
  <si>
    <t>FOB Chittagong/Dhaka</t>
  </si>
  <si>
    <t>Note: The quotation is valid until the end of April 2025</t>
  </si>
  <si>
    <t>Сервис</t>
  </si>
  <si>
    <t xml:space="preserve">Базис </t>
  </si>
  <si>
    <t>тип тс/ктк</t>
  </si>
  <si>
    <t>город или провинция отправления</t>
  </si>
  <si>
    <t>граница/порт</t>
  </si>
  <si>
    <t>город или провинция доставки</t>
  </si>
  <si>
    <t>стои-мость USD</t>
  </si>
  <si>
    <t>стоимость рублей</t>
  </si>
  <si>
    <t>СВХ</t>
  </si>
  <si>
    <t>стоимость СВХ</t>
  </si>
  <si>
    <t>стоимость терминальной обработки</t>
  </si>
  <si>
    <t>автовывоз</t>
  </si>
  <si>
    <t>стоимость охраны</t>
  </si>
  <si>
    <t>валидность</t>
  </si>
  <si>
    <t>транзитный срок</t>
  </si>
  <si>
    <t>даты выходов</t>
  </si>
  <si>
    <t>что включено</t>
  </si>
  <si>
    <t>Shenzhen/Guangzhou</t>
  </si>
  <si>
    <t>Wuhan</t>
  </si>
  <si>
    <t>FOB</t>
  </si>
  <si>
    <t>20GP 
SOC</t>
  </si>
  <si>
    <t>40HQ 
SOC</t>
  </si>
  <si>
    <t>20GP 
COC</t>
  </si>
  <si>
    <t>40HQ 
COC</t>
  </si>
  <si>
    <t>море</t>
  </si>
  <si>
    <t>включена</t>
  </si>
  <si>
    <t>жд</t>
  </si>
  <si>
    <t>EXW</t>
  </si>
  <si>
    <t>40 HC</t>
  </si>
  <si>
    <t>Manzhouli</t>
  </si>
  <si>
    <t>Erlian</t>
  </si>
  <si>
    <t>Alashankou/Khorgos</t>
  </si>
  <si>
    <t>Elektrougli</t>
  </si>
  <si>
    <t>Bely rast</t>
  </si>
  <si>
    <t>Elektrougli/Selyatino</t>
  </si>
  <si>
    <t>Shushary</t>
  </si>
  <si>
    <t>Selyatino</t>
  </si>
  <si>
    <t>Kolyadichi</t>
  </si>
  <si>
    <t>Khorgos</t>
  </si>
  <si>
    <t>авто</t>
  </si>
  <si>
    <t>22т 82м3</t>
  </si>
  <si>
    <t>2 дня после заявки</t>
  </si>
  <si>
    <t>26-Apr</t>
  </si>
  <si>
    <t>28-Apr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</si>
</sst>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
    <numFmt numFmtId="165" formatCode="0.00_ "/>
    <numFmt numFmtId="166" formatCode="[$-409]d\-mmm;@"/>
    <numFmt numFmtId="167" formatCode="#,##0\ _₽"/>
    <numFmt numFmtId="168" formatCode="#,##0\ [$$-C0C]"/>
  </numFmts>
  <fonts count="40">
    <font>
      <sz val="11"/>
      <color theme="1"/>
      <name val="Calibri"/>
      <charset val="134"/>
      <scheme val="minor"/>
    </font>
    <font>
      <sz val="16"/>
      <name val="宋体"/>
      <charset val="134"/>
    </font>
    <font>
      <sz val="14"/>
      <name val="宋体"/>
      <charset val="134"/>
    </font>
    <font>
      <sz val="12"/>
      <name val="宋体"/>
      <charset val="134"/>
    </font>
    <font>
      <b/>
      <sz val="12"/>
      <color rgb="FFFF0000"/>
      <name val="宋体"/>
      <charset val="134"/>
    </font>
    <font>
      <b/>
      <sz val="16"/>
      <color theme="1"/>
      <name val="Times New Roman"/>
      <family val="1"/>
    </font>
    <font>
      <b/>
      <sz val="16"/>
      <color theme="1"/>
      <name val="黑体"/>
      <charset val="134"/>
    </font>
    <font>
      <b/>
      <sz val="11"/>
      <color theme="1"/>
      <name val="Times New Roman"/>
      <family val="1"/>
    </font>
    <font>
      <b/>
      <sz val="12"/>
      <color theme="1"/>
      <name val="Times New Roman"/>
      <family val="1"/>
    </font>
    <font>
      <b/>
      <sz val="12"/>
      <color theme="1"/>
      <name val="黑体"/>
      <charset val="134"/>
    </font>
    <font>
      <b/>
      <sz val="11"/>
      <color theme="1"/>
      <name val="宋体"/>
      <charset val="134"/>
    </font>
    <font>
      <b/>
      <sz val="11"/>
      <color theme="1"/>
      <name val="Calibri"/>
      <family val="2"/>
      <scheme val="minor"/>
    </font>
    <font>
      <b/>
      <sz val="11"/>
      <color theme="1"/>
      <name val="黑体"/>
      <charset val="134"/>
    </font>
    <font>
      <b/>
      <sz val="24"/>
      <color theme="1"/>
      <name val="Consolas"/>
      <family val="2"/>
    </font>
    <font>
      <b/>
      <sz val="14"/>
      <color theme="1"/>
      <name val="Consolas"/>
      <family val="2"/>
    </font>
    <font>
      <sz val="11"/>
      <color theme="1"/>
      <name val="Consolas"/>
      <family val="2"/>
    </font>
    <font>
      <sz val="11"/>
      <name val="Consolas"/>
      <family val="2"/>
    </font>
    <font>
      <sz val="11"/>
      <color theme="1"/>
      <name val="宋体"/>
      <charset val="134"/>
    </font>
    <font>
      <b/>
      <sz val="14"/>
      <color rgb="FF000000"/>
      <name val="Calibri"/>
      <family val="2"/>
      <scheme val="minor"/>
    </font>
    <font>
      <b/>
      <sz val="14"/>
      <color indexed="8"/>
      <name val="Calibri"/>
      <family val="2"/>
      <scheme val="minor"/>
    </font>
    <font>
      <b/>
      <sz val="16"/>
      <color rgb="FFFF0000"/>
      <name val="Calibri"/>
      <family val="2"/>
      <scheme val="minor"/>
    </font>
    <font>
      <b/>
      <sz val="16"/>
      <color indexed="8"/>
      <name val="Calibri"/>
      <family val="2"/>
      <scheme val="minor"/>
    </font>
    <font>
      <sz val="11"/>
      <color indexed="8"/>
      <name val="Calibri"/>
      <family val="2"/>
      <scheme val="minor"/>
    </font>
    <font>
      <sz val="11"/>
      <color rgb="FFFF0000"/>
      <name val="Calibri"/>
      <family val="2"/>
      <scheme val="minor"/>
    </font>
    <font>
      <b/>
      <sz val="14"/>
      <color rgb="FFFF0000"/>
      <name val="Calibri"/>
      <family val="2"/>
      <scheme val="minor"/>
    </font>
    <font>
      <b/>
      <sz val="16"/>
      <color rgb="FF000000"/>
      <name val="Calibri"/>
      <family val="2"/>
      <scheme val="minor"/>
    </font>
    <font>
      <b/>
      <sz val="36"/>
      <name val="Calibri"/>
      <family val="2"/>
      <scheme val="minor"/>
    </font>
    <font>
      <b/>
      <sz val="36"/>
      <color theme="1"/>
      <name val="Calibri"/>
      <family val="2"/>
      <scheme val="minor"/>
    </font>
    <font>
      <b/>
      <sz val="12"/>
      <name val="微软雅黑"/>
      <family val="2"/>
      <charset val="134"/>
    </font>
    <font>
      <sz val="10"/>
      <name val="微软雅黑"/>
      <family val="2"/>
      <charset val="134"/>
    </font>
    <font>
      <sz val="10"/>
      <color theme="1"/>
      <name val="微软雅黑"/>
      <family val="2"/>
      <charset val="134"/>
    </font>
    <font>
      <sz val="11"/>
      <name val="微软雅黑"/>
      <family val="2"/>
      <charset val="134"/>
    </font>
    <font>
      <sz val="10"/>
      <name val="Arial"/>
      <family val="2"/>
    </font>
    <font>
      <b/>
      <sz val="12"/>
      <color rgb="FFFF0000"/>
      <name val="Times New Roman"/>
      <family val="1"/>
    </font>
    <font>
      <b/>
      <sz val="12"/>
      <color theme="1"/>
      <name val="宋体"/>
      <charset val="134"/>
    </font>
    <font>
      <b/>
      <sz val="20"/>
      <color theme="1"/>
      <name val="Cambria"/>
      <family val="1"/>
    </font>
    <font>
      <b/>
      <sz val="14"/>
      <color theme="1"/>
      <name val="Cambria"/>
      <family val="1"/>
    </font>
    <font>
      <b/>
      <sz val="11"/>
      <color theme="1"/>
      <name val="Times New Roman"/>
      <family val="1"/>
      <charset val="134"/>
    </font>
    <font>
      <sz val="11"/>
      <color theme="1"/>
      <name val="Calibri"/>
      <family val="2"/>
      <scheme val="minor"/>
    </font>
    <font>
      <sz val="8"/>
      <name val="Calibri"/>
      <family val="2"/>
      <scheme val="minor"/>
    </font>
  </fonts>
  <fills count="30">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rgb="FFFCE4D3"/>
        <bgColor indexed="64"/>
      </patternFill>
    </fill>
    <fill>
      <patternFill patternType="solid">
        <fgColor theme="0"/>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ADADE"/>
        <bgColor indexed="64"/>
      </patternFill>
    </fill>
    <fill>
      <patternFill patternType="solid">
        <fgColor theme="4" tint="0.79998168889431442"/>
        <bgColor indexed="64"/>
      </patternFill>
    </fill>
    <fill>
      <patternFill patternType="solid">
        <fgColor rgb="FFD9E1F4"/>
        <bgColor indexed="64"/>
      </patternFill>
    </fill>
    <fill>
      <patternFill patternType="solid">
        <fgColor rgb="FFFFF3CA"/>
        <bgColor indexed="64"/>
      </patternFill>
    </fill>
    <fill>
      <patternFill patternType="solid">
        <fgColor rgb="FFD9E1F2"/>
        <bgColor indexed="64"/>
      </patternFill>
    </fill>
    <fill>
      <patternFill patternType="solid">
        <fgColor theme="4" tint="0.79995117038483843"/>
        <bgColor indexed="64"/>
      </patternFill>
    </fill>
    <fill>
      <patternFill patternType="solid">
        <fgColor rgb="FF92D050"/>
        <bgColor indexed="64"/>
      </patternFill>
    </fill>
    <fill>
      <patternFill patternType="solid">
        <fgColor theme="5" tint="0.59999389629810485"/>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theme="9" tint="0.39994506668294322"/>
        <bgColor indexed="64"/>
      </patternFill>
    </fill>
    <fill>
      <patternFill patternType="solid">
        <fgColor theme="8" tint="0.59999389629810485"/>
        <bgColor indexed="64"/>
      </patternFill>
    </fill>
    <fill>
      <patternFill patternType="solid">
        <fgColor theme="7" tint="0.39994506668294322"/>
        <bgColor indexed="64"/>
      </patternFill>
    </fill>
    <fill>
      <patternFill patternType="solid">
        <fgColor theme="8" tint="0.39994506668294322"/>
        <bgColor indexed="64"/>
      </patternFill>
    </fill>
    <fill>
      <patternFill patternType="solid">
        <fgColor theme="9" tint="0.59999389629810485"/>
        <bgColor indexed="64"/>
      </patternFill>
    </fill>
    <fill>
      <patternFill patternType="solid">
        <fgColor theme="5" tint="0.79995117038483843"/>
        <bgColor indexed="64"/>
      </patternFill>
    </fill>
    <fill>
      <patternFill patternType="solid">
        <fgColor theme="7" tint="0.59999389629810485"/>
        <bgColor indexed="64"/>
      </patternFill>
    </fill>
    <fill>
      <patternFill patternType="solid">
        <fgColor theme="3" tint="0.59999389629810485"/>
        <bgColor indexed="64"/>
      </patternFill>
    </fill>
    <fill>
      <patternFill patternType="solid">
        <fgColor rgb="FF0070C0"/>
        <bgColor indexed="64"/>
      </patternFill>
    </fill>
    <fill>
      <patternFill patternType="solid">
        <fgColor rgb="FF00ADA0"/>
        <bgColor indexed="64"/>
      </patternFill>
    </fill>
  </fills>
  <borders count="2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auto="1"/>
      </right>
      <top style="thin">
        <color auto="1"/>
      </top>
      <bottom/>
      <diagonal/>
    </border>
    <border>
      <left/>
      <right/>
      <top style="thin">
        <color auto="1"/>
      </top>
      <bottom/>
      <diagonal/>
    </border>
    <border>
      <left/>
      <right style="thin">
        <color auto="1"/>
      </right>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rgb="FF000000"/>
      </top>
      <bottom style="thin">
        <color auto="1"/>
      </bottom>
      <diagonal/>
    </border>
    <border>
      <left style="thin">
        <color auto="1"/>
      </left>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s>
  <cellStyleXfs count="2">
    <xf numFmtId="0" fontId="0" fillId="0" borderId="0">
      <alignment vertical="center"/>
    </xf>
    <xf numFmtId="164" fontId="32" fillId="0" borderId="0"/>
  </cellStyleXfs>
  <cellXfs count="305">
    <xf numFmtId="0" fontId="0" fillId="0" borderId="0" xfId="0">
      <alignment vertical="center"/>
    </xf>
    <xf numFmtId="0" fontId="1" fillId="2" borderId="4" xfId="0" applyFont="1" applyFill="1" applyBorder="1" applyAlignment="1">
      <alignment horizontal="center" vertical="center" wrapText="1"/>
    </xf>
    <xf numFmtId="0" fontId="2" fillId="0" borderId="4" xfId="0" applyFont="1" applyBorder="1" applyAlignment="1">
      <alignment horizontal="center" vertical="center"/>
    </xf>
    <xf numFmtId="0" fontId="3" fillId="0" borderId="0" xfId="0" applyFont="1">
      <alignment vertical="center"/>
    </xf>
    <xf numFmtId="0" fontId="4" fillId="0" borderId="0" xfId="0" applyFont="1">
      <alignment vertical="center"/>
    </xf>
    <xf numFmtId="0" fontId="1" fillId="2" borderId="4" xfId="0" applyFont="1" applyFill="1" applyBorder="1" applyAlignment="1">
      <alignment horizontal="center" vertical="center"/>
    </xf>
    <xf numFmtId="0" fontId="7" fillId="0" borderId="4" xfId="0" applyFont="1" applyBorder="1" applyAlignment="1">
      <alignment horizontal="center" vertical="center"/>
    </xf>
    <xf numFmtId="0" fontId="8" fillId="0" borderId="4" xfId="0" applyFont="1" applyBorder="1" applyAlignment="1">
      <alignment horizontal="center" vertical="center" wrapText="1"/>
    </xf>
    <xf numFmtId="49" fontId="8" fillId="0" borderId="4" xfId="0" applyNumberFormat="1" applyFont="1" applyBorder="1" applyAlignment="1">
      <alignment horizontal="center" vertical="center" wrapText="1"/>
    </xf>
    <xf numFmtId="0" fontId="7" fillId="4" borderId="4" xfId="0" applyFont="1" applyFill="1" applyBorder="1" applyAlignment="1">
      <alignment horizontal="center" vertical="center"/>
    </xf>
    <xf numFmtId="0" fontId="7" fillId="4" borderId="1" xfId="0" applyFont="1" applyFill="1" applyBorder="1" applyAlignment="1">
      <alignment horizontal="center" vertical="center"/>
    </xf>
    <xf numFmtId="0" fontId="10" fillId="4" borderId="4" xfId="0" applyFont="1" applyFill="1" applyBorder="1" applyAlignment="1">
      <alignment horizontal="center" vertical="center"/>
    </xf>
    <xf numFmtId="0" fontId="8" fillId="4" borderId="4" xfId="0" applyFont="1" applyFill="1" applyBorder="1" applyAlignment="1">
      <alignment horizontal="center" vertical="center"/>
    </xf>
    <xf numFmtId="0" fontId="8" fillId="5" borderId="4" xfId="0" applyFont="1" applyFill="1" applyBorder="1" applyAlignment="1">
      <alignment horizontal="center" vertical="center"/>
    </xf>
    <xf numFmtId="0" fontId="7" fillId="5" borderId="4" xfId="0" applyFont="1" applyFill="1" applyBorder="1" applyAlignment="1">
      <alignment horizontal="center" vertical="center"/>
    </xf>
    <xf numFmtId="0" fontId="11" fillId="5" borderId="4" xfId="0" applyFont="1" applyFill="1" applyBorder="1" applyAlignment="1">
      <alignment horizontal="center" vertical="center"/>
    </xf>
    <xf numFmtId="0" fontId="7" fillId="5" borderId="1" xfId="0" applyFont="1" applyFill="1" applyBorder="1" applyAlignment="1">
      <alignment horizontal="center" vertical="center"/>
    </xf>
    <xf numFmtId="0" fontId="10" fillId="5" borderId="4" xfId="0" applyFont="1" applyFill="1" applyBorder="1" applyAlignment="1">
      <alignment horizontal="center" vertical="center"/>
    </xf>
    <xf numFmtId="0" fontId="7" fillId="0" borderId="4" xfId="0" applyFont="1" applyBorder="1" applyAlignment="1">
      <alignment horizontal="center" vertical="center" wrapText="1"/>
    </xf>
    <xf numFmtId="0" fontId="12" fillId="0" borderId="4" xfId="0" applyFont="1" applyBorder="1" applyAlignment="1">
      <alignment horizontal="center" vertical="center"/>
    </xf>
    <xf numFmtId="0" fontId="0" fillId="0" borderId="0" xfId="0" applyAlignment="1">
      <alignment horizontal="center" vertical="center"/>
    </xf>
    <xf numFmtId="0" fontId="11" fillId="6" borderId="4" xfId="0" applyFont="1" applyFill="1" applyBorder="1" applyAlignment="1">
      <alignment horizontal="center" vertical="center" wrapText="1"/>
    </xf>
    <xf numFmtId="0" fontId="11" fillId="6" borderId="4" xfId="0" applyFont="1" applyFill="1" applyBorder="1" applyAlignment="1">
      <alignment horizontal="center" vertical="center"/>
    </xf>
    <xf numFmtId="0" fontId="0" fillId="7" borderId="4" xfId="0" applyFill="1" applyBorder="1" applyAlignment="1">
      <alignment horizontal="left" vertical="center"/>
    </xf>
    <xf numFmtId="0" fontId="0" fillId="7" borderId="4" xfId="0" applyFill="1" applyBorder="1" applyAlignment="1">
      <alignment horizontal="center" vertical="center"/>
    </xf>
    <xf numFmtId="0" fontId="0" fillId="7" borderId="4" xfId="0" applyFill="1" applyBorder="1">
      <alignment vertical="center"/>
    </xf>
    <xf numFmtId="0" fontId="0" fillId="7" borderId="7" xfId="0" applyFill="1" applyBorder="1" applyAlignment="1">
      <alignment horizontal="center" vertical="center"/>
    </xf>
    <xf numFmtId="0" fontId="0" fillId="7" borderId="4" xfId="0" applyFill="1" applyBorder="1" applyAlignment="1">
      <alignment horizontal="center" vertical="center" wrapText="1"/>
    </xf>
    <xf numFmtId="0" fontId="0" fillId="7" borderId="7" xfId="0" applyFill="1" applyBorder="1">
      <alignment vertical="center"/>
    </xf>
    <xf numFmtId="0" fontId="0" fillId="7" borderId="0" xfId="0" applyFill="1" applyAlignment="1">
      <alignment horizontal="left" vertical="center"/>
    </xf>
    <xf numFmtId="0" fontId="0" fillId="8" borderId="4" xfId="0" applyFill="1" applyBorder="1" applyAlignment="1">
      <alignment horizontal="left" vertical="center"/>
    </xf>
    <xf numFmtId="0" fontId="0" fillId="8" borderId="4" xfId="0" applyFill="1" applyBorder="1">
      <alignment vertical="center"/>
    </xf>
    <xf numFmtId="0" fontId="0" fillId="8" borderId="4" xfId="0" applyFill="1" applyBorder="1" applyAlignment="1">
      <alignment horizontal="center" vertical="center"/>
    </xf>
    <xf numFmtId="0" fontId="0" fillId="8" borderId="7" xfId="0" applyFill="1" applyBorder="1" applyAlignment="1">
      <alignment horizontal="center" vertical="center"/>
    </xf>
    <xf numFmtId="0" fontId="0" fillId="9" borderId="4" xfId="0" applyFill="1" applyBorder="1" applyAlignment="1">
      <alignment horizontal="left" vertical="center"/>
    </xf>
    <xf numFmtId="0" fontId="0" fillId="9" borderId="4" xfId="0" applyFill="1" applyBorder="1">
      <alignment vertical="center"/>
    </xf>
    <xf numFmtId="0" fontId="0" fillId="9" borderId="4" xfId="0" applyFill="1" applyBorder="1" applyAlignment="1">
      <alignment horizontal="center" vertical="center"/>
    </xf>
    <xf numFmtId="0" fontId="0" fillId="10" borderId="4" xfId="0" applyFill="1" applyBorder="1" applyAlignment="1">
      <alignment horizontal="left" vertical="center"/>
    </xf>
    <xf numFmtId="0" fontId="0" fillId="10" borderId="4" xfId="0" applyFill="1" applyBorder="1">
      <alignment vertical="center"/>
    </xf>
    <xf numFmtId="0" fontId="0" fillId="10" borderId="4" xfId="0" applyFill="1" applyBorder="1" applyAlignment="1">
      <alignment horizontal="center" vertical="center"/>
    </xf>
    <xf numFmtId="0" fontId="0" fillId="11" borderId="4" xfId="0" applyFill="1" applyBorder="1" applyAlignment="1">
      <alignment horizontal="left" vertical="center"/>
    </xf>
    <xf numFmtId="0" fontId="0" fillId="11" borderId="4" xfId="0" applyFill="1" applyBorder="1">
      <alignment vertical="center"/>
    </xf>
    <xf numFmtId="0" fontId="0" fillId="11" borderId="4" xfId="0" applyFill="1" applyBorder="1" applyAlignment="1">
      <alignment horizontal="center" vertical="center"/>
    </xf>
    <xf numFmtId="0" fontId="0" fillId="12" borderId="4" xfId="0" applyFill="1" applyBorder="1">
      <alignment vertical="center"/>
    </xf>
    <xf numFmtId="0" fontId="0" fillId="11" borderId="7" xfId="0" applyFill="1" applyBorder="1" applyAlignment="1">
      <alignment horizontal="center" vertical="center"/>
    </xf>
    <xf numFmtId="0" fontId="0" fillId="11" borderId="7" xfId="0" applyFill="1" applyBorder="1" applyAlignment="1">
      <alignment horizontal="center" vertical="center" wrapText="1"/>
    </xf>
    <xf numFmtId="0" fontId="0" fillId="11" borderId="4" xfId="0" applyFill="1" applyBorder="1" applyAlignment="1">
      <alignment horizontal="center" vertical="center" wrapText="1"/>
    </xf>
    <xf numFmtId="0" fontId="0" fillId="6" borderId="4" xfId="0" applyFill="1" applyBorder="1" applyAlignment="1">
      <alignment horizontal="left" vertical="center"/>
    </xf>
    <xf numFmtId="0" fontId="0" fillId="6" borderId="4" xfId="0" applyFill="1" applyBorder="1">
      <alignment vertical="center"/>
    </xf>
    <xf numFmtId="0" fontId="0" fillId="6" borderId="4" xfId="0" applyFill="1" applyBorder="1" applyAlignment="1">
      <alignment horizontal="center" vertical="center"/>
    </xf>
    <xf numFmtId="0" fontId="0" fillId="13" borderId="4" xfId="0" applyFill="1" applyBorder="1">
      <alignment vertical="center"/>
    </xf>
    <xf numFmtId="166" fontId="13" fillId="14" borderId="8" xfId="0" applyNumberFormat="1" applyFont="1" applyFill="1" applyBorder="1">
      <alignment vertical="center"/>
    </xf>
    <xf numFmtId="166" fontId="13" fillId="14" borderId="9" xfId="0" applyNumberFormat="1" applyFont="1" applyFill="1" applyBorder="1">
      <alignment vertical="center"/>
    </xf>
    <xf numFmtId="166" fontId="13" fillId="14" borderId="10" xfId="0" applyNumberFormat="1" applyFont="1" applyFill="1" applyBorder="1">
      <alignment vertical="center"/>
    </xf>
    <xf numFmtId="166" fontId="14" fillId="15" borderId="5" xfId="0" applyNumberFormat="1" applyFont="1" applyFill="1" applyBorder="1" applyAlignment="1">
      <alignment horizontal="center" vertical="center" wrapText="1"/>
    </xf>
    <xf numFmtId="166" fontId="14" fillId="15" borderId="4" xfId="0" applyNumberFormat="1" applyFont="1" applyFill="1" applyBorder="1" applyAlignment="1">
      <alignment vertical="center" wrapText="1"/>
    </xf>
    <xf numFmtId="166" fontId="14" fillId="15" borderId="4" xfId="0" applyNumberFormat="1" applyFont="1" applyFill="1" applyBorder="1" applyAlignment="1">
      <alignment horizontal="left" vertical="center" wrapText="1"/>
    </xf>
    <xf numFmtId="166" fontId="14" fillId="15" borderId="4" xfId="0" applyNumberFormat="1" applyFont="1" applyFill="1" applyBorder="1" applyAlignment="1">
      <alignment horizontal="center" vertical="center" wrapText="1"/>
    </xf>
    <xf numFmtId="166" fontId="15" fillId="16" borderId="5" xfId="0" applyNumberFormat="1" applyFont="1" applyFill="1" applyBorder="1" applyAlignment="1">
      <alignment horizontal="center" vertical="center" wrapText="1"/>
    </xf>
    <xf numFmtId="166" fontId="15" fillId="16" borderId="4" xfId="0" applyNumberFormat="1" applyFont="1" applyFill="1" applyBorder="1" applyAlignment="1">
      <alignment vertical="center" wrapText="1"/>
    </xf>
    <xf numFmtId="166" fontId="15" fillId="16" borderId="4" xfId="0" applyNumberFormat="1" applyFont="1" applyFill="1" applyBorder="1" applyAlignment="1">
      <alignment horizontal="left" vertical="center" wrapText="1"/>
    </xf>
    <xf numFmtId="0" fontId="15" fillId="16" borderId="4" xfId="0" applyFont="1" applyFill="1" applyBorder="1" applyAlignment="1">
      <alignment horizontal="center" vertical="center" wrapText="1"/>
    </xf>
    <xf numFmtId="166" fontId="15" fillId="16" borderId="4" xfId="0" applyNumberFormat="1" applyFont="1" applyFill="1" applyBorder="1" applyAlignment="1">
      <alignment horizontal="center" vertical="center" wrapText="1"/>
    </xf>
    <xf numFmtId="166" fontId="15" fillId="17" borderId="4" xfId="0" applyNumberFormat="1" applyFont="1" applyFill="1" applyBorder="1" applyAlignment="1">
      <alignment vertical="center" wrapText="1"/>
    </xf>
    <xf numFmtId="0" fontId="15" fillId="17" borderId="4" xfId="0" applyFont="1" applyFill="1" applyBorder="1" applyAlignment="1">
      <alignment horizontal="left" vertical="center"/>
    </xf>
    <xf numFmtId="0" fontId="15" fillId="17" borderId="4" xfId="0" applyFont="1" applyFill="1" applyBorder="1" applyAlignment="1">
      <alignment horizontal="center" vertical="center"/>
    </xf>
    <xf numFmtId="16" fontId="15" fillId="17" borderId="4" xfId="0" applyNumberFormat="1" applyFont="1" applyFill="1" applyBorder="1" applyAlignment="1">
      <alignment horizontal="center" vertical="center"/>
    </xf>
    <xf numFmtId="166" fontId="15" fillId="17" borderId="7" xfId="0" applyNumberFormat="1" applyFont="1" applyFill="1" applyBorder="1" applyAlignment="1">
      <alignment vertical="center" wrapText="1"/>
    </xf>
    <xf numFmtId="0" fontId="15" fillId="17" borderId="7" xfId="0" applyFont="1" applyFill="1" applyBorder="1" applyAlignment="1">
      <alignment horizontal="left" vertical="center"/>
    </xf>
    <xf numFmtId="0" fontId="16" fillId="17" borderId="4" xfId="0" applyFont="1" applyFill="1" applyBorder="1" applyAlignment="1">
      <alignment horizontal="left" vertical="center"/>
    </xf>
    <xf numFmtId="166" fontId="15" fillId="18" borderId="5" xfId="0" applyNumberFormat="1" applyFont="1" applyFill="1" applyBorder="1" applyAlignment="1">
      <alignment horizontal="center" vertical="center" wrapText="1"/>
    </xf>
    <xf numFmtId="166" fontId="15" fillId="18" borderId="4" xfId="0" applyNumberFormat="1" applyFont="1" applyFill="1" applyBorder="1" applyAlignment="1">
      <alignment vertical="center" wrapText="1"/>
    </xf>
    <xf numFmtId="0" fontId="15" fillId="18" borderId="4" xfId="0" applyFont="1" applyFill="1" applyBorder="1" applyAlignment="1">
      <alignment horizontal="left" vertical="center"/>
    </xf>
    <xf numFmtId="0" fontId="15" fillId="18" borderId="4" xfId="0" applyFont="1" applyFill="1" applyBorder="1" applyAlignment="1">
      <alignment horizontal="center" vertical="center"/>
    </xf>
    <xf numFmtId="16" fontId="15" fillId="18" borderId="4" xfId="0" applyNumberFormat="1" applyFont="1" applyFill="1" applyBorder="1" applyAlignment="1">
      <alignment horizontal="center" vertical="center"/>
    </xf>
    <xf numFmtId="166" fontId="15" fillId="18" borderId="7" xfId="0" applyNumberFormat="1" applyFont="1" applyFill="1" applyBorder="1" applyAlignment="1">
      <alignment vertical="center" wrapText="1"/>
    </xf>
    <xf numFmtId="0" fontId="15" fillId="18" borderId="7" xfId="0" applyFont="1" applyFill="1" applyBorder="1" applyAlignment="1">
      <alignment horizontal="left" vertical="center"/>
    </xf>
    <xf numFmtId="0" fontId="16" fillId="18" borderId="4" xfId="0" applyFont="1" applyFill="1" applyBorder="1" applyAlignment="1">
      <alignment horizontal="left" vertical="center"/>
    </xf>
    <xf numFmtId="166" fontId="15" fillId="19" borderId="13" xfId="0" applyNumberFormat="1" applyFont="1" applyFill="1" applyBorder="1" applyAlignment="1">
      <alignment vertical="center" wrapText="1"/>
    </xf>
    <xf numFmtId="0" fontId="15" fillId="19" borderId="7" xfId="0" applyFont="1" applyFill="1" applyBorder="1" applyAlignment="1">
      <alignment horizontal="left" vertical="center"/>
    </xf>
    <xf numFmtId="0" fontId="16" fillId="19" borderId="4" xfId="0" applyFont="1" applyFill="1" applyBorder="1" applyAlignment="1">
      <alignment horizontal="center" vertical="center"/>
    </xf>
    <xf numFmtId="16" fontId="15" fillId="19" borderId="7" xfId="0" applyNumberFormat="1" applyFont="1" applyFill="1" applyBorder="1" applyAlignment="1">
      <alignment horizontal="center" vertical="center"/>
    </xf>
    <xf numFmtId="166" fontId="16" fillId="19" borderId="3" xfId="0" applyNumberFormat="1" applyFont="1" applyFill="1" applyBorder="1" applyAlignment="1">
      <alignment vertical="center" wrapText="1"/>
    </xf>
    <xf numFmtId="0" fontId="16" fillId="19" borderId="4" xfId="0" applyFont="1" applyFill="1" applyBorder="1" applyAlignment="1">
      <alignment horizontal="left" vertical="center" wrapText="1"/>
    </xf>
    <xf numFmtId="16" fontId="16" fillId="19" borderId="4" xfId="0" applyNumberFormat="1" applyFont="1" applyFill="1" applyBorder="1" applyAlignment="1">
      <alignment horizontal="center" vertical="center"/>
    </xf>
    <xf numFmtId="166" fontId="16" fillId="19" borderId="11" xfId="0" applyNumberFormat="1" applyFont="1" applyFill="1" applyBorder="1" applyAlignment="1">
      <alignment vertical="center" wrapText="1"/>
    </xf>
    <xf numFmtId="166" fontId="15" fillId="20" borderId="5" xfId="0" applyNumberFormat="1" applyFont="1" applyFill="1" applyBorder="1" applyAlignment="1">
      <alignment vertical="center" wrapText="1"/>
    </xf>
    <xf numFmtId="0" fontId="15" fillId="20" borderId="4" xfId="0" applyFont="1" applyFill="1" applyBorder="1" applyAlignment="1">
      <alignment horizontal="left" vertical="center" wrapText="1"/>
    </xf>
    <xf numFmtId="0" fontId="15" fillId="20" borderId="4" xfId="0" applyFont="1" applyFill="1" applyBorder="1" applyAlignment="1">
      <alignment horizontal="center" vertical="center"/>
    </xf>
    <xf numFmtId="16" fontId="15" fillId="20" borderId="4" xfId="0" applyNumberFormat="1" applyFont="1" applyFill="1" applyBorder="1" applyAlignment="1">
      <alignment horizontal="center" vertical="center"/>
    </xf>
    <xf numFmtId="0" fontId="16" fillId="20" borderId="4" xfId="0" applyFont="1" applyFill="1" applyBorder="1" applyAlignment="1">
      <alignment horizontal="left" vertical="center" wrapText="1"/>
    </xf>
    <xf numFmtId="166" fontId="15" fillId="20" borderId="4" xfId="0" applyNumberFormat="1" applyFont="1" applyFill="1" applyBorder="1" applyAlignment="1">
      <alignment vertical="center" wrapText="1"/>
    </xf>
    <xf numFmtId="0" fontId="15" fillId="20" borderId="4" xfId="0" applyFont="1" applyFill="1" applyBorder="1" applyAlignment="1">
      <alignment horizontal="left" vertical="center"/>
    </xf>
    <xf numFmtId="166" fontId="15" fillId="21" borderId="4" xfId="0" applyNumberFormat="1" applyFont="1" applyFill="1" applyBorder="1" applyAlignment="1">
      <alignment horizontal="center" vertical="center" wrapText="1"/>
    </xf>
    <xf numFmtId="166" fontId="15" fillId="21" borderId="4" xfId="0" applyNumberFormat="1" applyFont="1" applyFill="1" applyBorder="1" applyAlignment="1">
      <alignment vertical="center" wrapText="1"/>
    </xf>
    <xf numFmtId="0" fontId="15" fillId="21" borderId="4" xfId="0" applyFont="1" applyFill="1" applyBorder="1" applyAlignment="1">
      <alignment horizontal="left" vertical="center"/>
    </xf>
    <xf numFmtId="0" fontId="15" fillId="21" borderId="4" xfId="0" applyFont="1" applyFill="1" applyBorder="1" applyAlignment="1">
      <alignment horizontal="center" vertical="center"/>
    </xf>
    <xf numFmtId="16" fontId="15" fillId="21" borderId="4" xfId="0" applyNumberFormat="1" applyFont="1" applyFill="1" applyBorder="1" applyAlignment="1">
      <alignment horizontal="center" vertical="center"/>
    </xf>
    <xf numFmtId="166" fontId="15" fillId="22" borderId="3" xfId="0" applyNumberFormat="1" applyFont="1" applyFill="1" applyBorder="1" applyAlignment="1">
      <alignment vertical="center" wrapText="1"/>
    </xf>
    <xf numFmtId="0" fontId="15" fillId="22" borderId="14" xfId="0" applyFont="1" applyFill="1" applyBorder="1" applyAlignment="1">
      <alignment horizontal="left" vertical="center"/>
    </xf>
    <xf numFmtId="0" fontId="15" fillId="22" borderId="4" xfId="0" applyFont="1" applyFill="1" applyBorder="1" applyAlignment="1">
      <alignment horizontal="center" vertical="center"/>
    </xf>
    <xf numFmtId="16" fontId="15" fillId="22" borderId="15" xfId="0" applyNumberFormat="1" applyFont="1" applyFill="1" applyBorder="1" applyAlignment="1">
      <alignment horizontal="center" vertical="center"/>
    </xf>
    <xf numFmtId="0" fontId="16" fillId="22" borderId="14" xfId="0" applyFont="1" applyFill="1" applyBorder="1" applyAlignment="1">
      <alignment horizontal="left" vertical="center"/>
    </xf>
    <xf numFmtId="0" fontId="15" fillId="22" borderId="14" xfId="0" applyFont="1" applyFill="1" applyBorder="1" applyAlignment="1">
      <alignment horizontal="left" vertical="center" wrapText="1"/>
    </xf>
    <xf numFmtId="166" fontId="15" fillId="22" borderId="11" xfId="0" applyNumberFormat="1" applyFont="1" applyFill="1" applyBorder="1" applyAlignment="1">
      <alignment vertical="center" wrapText="1"/>
    </xf>
    <xf numFmtId="0" fontId="15" fillId="22" borderId="10" xfId="0" applyFont="1" applyFill="1" applyBorder="1" applyAlignment="1">
      <alignment horizontal="left" vertical="center" wrapText="1"/>
    </xf>
    <xf numFmtId="166" fontId="15" fillId="22" borderId="4" xfId="0" applyNumberFormat="1" applyFont="1" applyFill="1" applyBorder="1" applyAlignment="1">
      <alignment vertical="center" wrapText="1"/>
    </xf>
    <xf numFmtId="0" fontId="15" fillId="22" borderId="4" xfId="0" applyFont="1" applyFill="1" applyBorder="1" applyAlignment="1">
      <alignment horizontal="left" vertical="center" wrapText="1"/>
    </xf>
    <xf numFmtId="16" fontId="15" fillId="22" borderId="16" xfId="0" applyNumberFormat="1" applyFont="1" applyFill="1" applyBorder="1" applyAlignment="1">
      <alignment horizontal="center" vertical="center"/>
    </xf>
    <xf numFmtId="16" fontId="15" fillId="22" borderId="14" xfId="0" applyNumberFormat="1" applyFont="1" applyFill="1" applyBorder="1" applyAlignment="1">
      <alignment horizontal="center" vertical="center"/>
    </xf>
    <xf numFmtId="166" fontId="15" fillId="23" borderId="5" xfId="0" applyNumberFormat="1" applyFont="1" applyFill="1" applyBorder="1" applyAlignment="1">
      <alignment vertical="center" wrapText="1"/>
    </xf>
    <xf numFmtId="0" fontId="15" fillId="23" borderId="5" xfId="0" applyFont="1" applyFill="1" applyBorder="1" applyAlignment="1">
      <alignment horizontal="left" vertical="center" wrapText="1"/>
    </xf>
    <xf numFmtId="0" fontId="15" fillId="23" borderId="4" xfId="0" applyFont="1" applyFill="1" applyBorder="1" applyAlignment="1">
      <alignment horizontal="center" vertical="center"/>
    </xf>
    <xf numFmtId="16" fontId="15" fillId="23" borderId="5" xfId="0" applyNumberFormat="1" applyFont="1" applyFill="1" applyBorder="1" applyAlignment="1">
      <alignment horizontal="center" vertical="center"/>
    </xf>
    <xf numFmtId="166" fontId="15" fillId="23" borderId="4" xfId="0" applyNumberFormat="1" applyFont="1" applyFill="1" applyBorder="1" applyAlignment="1">
      <alignment vertical="center" wrapText="1"/>
    </xf>
    <xf numFmtId="0" fontId="15" fillId="23" borderId="4" xfId="0" applyFont="1" applyFill="1" applyBorder="1" applyAlignment="1">
      <alignment horizontal="left" vertical="center" wrapText="1"/>
    </xf>
    <xf numFmtId="16" fontId="15" fillId="23" borderId="4" xfId="0" applyNumberFormat="1" applyFont="1" applyFill="1" applyBorder="1" applyAlignment="1">
      <alignment horizontal="center" vertical="center"/>
    </xf>
    <xf numFmtId="0" fontId="16" fillId="23" borderId="4" xfId="0" applyFont="1" applyFill="1" applyBorder="1" applyAlignment="1">
      <alignment horizontal="left" vertical="center"/>
    </xf>
    <xf numFmtId="166" fontId="15" fillId="24" borderId="4" xfId="0" applyNumberFormat="1" applyFont="1" applyFill="1" applyBorder="1" applyAlignment="1">
      <alignment vertical="center" wrapText="1"/>
    </xf>
    <xf numFmtId="0" fontId="15" fillId="24" borderId="4" xfId="0" applyFont="1" applyFill="1" applyBorder="1" applyAlignment="1">
      <alignment horizontal="left" vertical="center"/>
    </xf>
    <xf numFmtId="0" fontId="15" fillId="24" borderId="4" xfId="0" applyFont="1" applyFill="1" applyBorder="1" applyAlignment="1">
      <alignment horizontal="center" vertical="center"/>
    </xf>
    <xf numFmtId="16" fontId="15" fillId="24" borderId="4" xfId="0" applyNumberFormat="1" applyFont="1" applyFill="1" applyBorder="1" applyAlignment="1">
      <alignment horizontal="center" vertical="center"/>
    </xf>
    <xf numFmtId="166" fontId="15" fillId="24" borderId="7" xfId="0" applyNumberFormat="1" applyFont="1" applyFill="1" applyBorder="1" applyAlignment="1">
      <alignment vertical="center" wrapText="1"/>
    </xf>
    <xf numFmtId="0" fontId="15" fillId="24" borderId="7" xfId="0" applyFont="1" applyFill="1" applyBorder="1" applyAlignment="1">
      <alignment horizontal="left" vertical="center"/>
    </xf>
    <xf numFmtId="0" fontId="15" fillId="24" borderId="4" xfId="0" applyFont="1" applyFill="1" applyBorder="1" applyAlignment="1">
      <alignment horizontal="left" vertical="center" wrapText="1"/>
    </xf>
    <xf numFmtId="16" fontId="15" fillId="24" borderId="16" xfId="0" applyNumberFormat="1" applyFont="1" applyFill="1" applyBorder="1" applyAlignment="1">
      <alignment horizontal="center" vertical="center"/>
    </xf>
    <xf numFmtId="16" fontId="15" fillId="24" borderId="5" xfId="0" applyNumberFormat="1" applyFont="1" applyFill="1" applyBorder="1" applyAlignment="1">
      <alignment horizontal="center" vertical="center"/>
    </xf>
    <xf numFmtId="166" fontId="15" fillId="25" borderId="4" xfId="0" applyNumberFormat="1" applyFont="1" applyFill="1" applyBorder="1" applyAlignment="1">
      <alignment vertical="center" wrapText="1"/>
    </xf>
    <xf numFmtId="0" fontId="15" fillId="25" borderId="4" xfId="0" applyFont="1" applyFill="1" applyBorder="1" applyAlignment="1">
      <alignment horizontal="left" vertical="center"/>
    </xf>
    <xf numFmtId="0" fontId="15" fillId="25" borderId="4" xfId="0" applyFont="1" applyFill="1" applyBorder="1" applyAlignment="1">
      <alignment horizontal="center" vertical="center"/>
    </xf>
    <xf numFmtId="16" fontId="15" fillId="25" borderId="4" xfId="0" applyNumberFormat="1" applyFont="1" applyFill="1" applyBorder="1" applyAlignment="1">
      <alignment horizontal="center" vertical="center"/>
    </xf>
    <xf numFmtId="166" fontId="15" fillId="25" borderId="13" xfId="0" applyNumberFormat="1" applyFont="1" applyFill="1" applyBorder="1" applyAlignment="1">
      <alignment vertical="center" wrapText="1"/>
    </xf>
    <xf numFmtId="0" fontId="15" fillId="25" borderId="7" xfId="0" applyFont="1" applyFill="1" applyBorder="1" applyAlignment="1">
      <alignment horizontal="left" vertical="center"/>
    </xf>
    <xf numFmtId="166" fontId="15" fillId="25" borderId="3" xfId="0" applyNumberFormat="1" applyFont="1" applyFill="1" applyBorder="1" applyAlignment="1">
      <alignment vertical="center" wrapText="1"/>
    </xf>
    <xf numFmtId="0" fontId="16" fillId="25" borderId="4" xfId="0" applyFont="1" applyFill="1" applyBorder="1" applyAlignment="1">
      <alignment horizontal="left" vertical="center" wrapText="1"/>
    </xf>
    <xf numFmtId="0" fontId="15" fillId="22" borderId="4" xfId="0" applyFont="1" applyFill="1" applyBorder="1" applyAlignment="1">
      <alignment horizontal="left" vertical="center"/>
    </xf>
    <xf numFmtId="16" fontId="15" fillId="22" borderId="4" xfId="0" applyNumberFormat="1" applyFont="1" applyFill="1" applyBorder="1" applyAlignment="1">
      <alignment horizontal="center" vertical="center"/>
    </xf>
    <xf numFmtId="0" fontId="16" fillId="22" borderId="4" xfId="0" applyFont="1" applyFill="1" applyBorder="1" applyAlignment="1">
      <alignment horizontal="left" vertical="center"/>
    </xf>
    <xf numFmtId="0" fontId="20" fillId="0" borderId="4" xfId="0" applyFont="1" applyBorder="1" applyAlignment="1">
      <alignment horizontal="center" vertical="center"/>
    </xf>
    <xf numFmtId="166" fontId="14" fillId="15" borderId="5" xfId="0" applyNumberFormat="1" applyFont="1" applyFill="1" applyBorder="1" applyAlignment="1">
      <alignment horizontal="left" vertical="center" wrapText="1"/>
    </xf>
    <xf numFmtId="0" fontId="22" fillId="3" borderId="5" xfId="0" applyFont="1" applyFill="1" applyBorder="1" applyAlignment="1">
      <alignment horizontal="center" vertical="center"/>
    </xf>
    <xf numFmtId="0" fontId="22" fillId="3" borderId="4" xfId="0" applyFont="1" applyFill="1" applyBorder="1">
      <alignment vertical="center"/>
    </xf>
    <xf numFmtId="16" fontId="16" fillId="3" borderId="4" xfId="0" applyNumberFormat="1" applyFont="1" applyFill="1" applyBorder="1" applyAlignment="1">
      <alignment horizontal="center" vertical="center"/>
    </xf>
    <xf numFmtId="0" fontId="22" fillId="26" borderId="4" xfId="0" applyFont="1" applyFill="1" applyBorder="1">
      <alignment vertical="center"/>
    </xf>
    <xf numFmtId="16" fontId="16" fillId="26" borderId="4" xfId="0" applyNumberFormat="1" applyFont="1" applyFill="1" applyBorder="1" applyAlignment="1">
      <alignment horizontal="center" vertical="center"/>
    </xf>
    <xf numFmtId="0" fontId="22" fillId="16" borderId="4" xfId="0" applyFont="1" applyFill="1" applyBorder="1">
      <alignment vertical="center"/>
    </xf>
    <xf numFmtId="16" fontId="16" fillId="16" borderId="4" xfId="0" applyNumberFormat="1" applyFont="1" applyFill="1" applyBorder="1" applyAlignment="1">
      <alignment horizontal="center" vertical="center"/>
    </xf>
    <xf numFmtId="49" fontId="23" fillId="0" borderId="0" xfId="0" applyNumberFormat="1" applyFont="1" applyAlignment="1">
      <alignment horizontal="left" vertical="center"/>
    </xf>
    <xf numFmtId="49" fontId="24" fillId="0" borderId="0" xfId="0" applyNumberFormat="1" applyFont="1" applyAlignment="1">
      <alignment horizontal="left" vertical="center" wrapText="1"/>
    </xf>
    <xf numFmtId="49" fontId="22" fillId="0" borderId="0" xfId="0" applyNumberFormat="1" applyFont="1" applyAlignment="1">
      <alignment horizontal="left" vertical="center"/>
    </xf>
    <xf numFmtId="0" fontId="22" fillId="0" borderId="0" xfId="0" applyFont="1" applyAlignment="1">
      <alignment horizontal="left" vertical="center"/>
    </xf>
    <xf numFmtId="0" fontId="22" fillId="27" borderId="4" xfId="0" applyFont="1" applyFill="1" applyBorder="1">
      <alignment vertical="center"/>
    </xf>
    <xf numFmtId="16" fontId="16" fillId="27" borderId="4" xfId="0" applyNumberFormat="1" applyFont="1" applyFill="1" applyBorder="1" applyAlignment="1">
      <alignment horizontal="center" vertical="center"/>
    </xf>
    <xf numFmtId="0" fontId="22" fillId="26" borderId="4" xfId="0" applyFont="1" applyFill="1" applyBorder="1" applyAlignment="1">
      <alignment horizontal="center" vertical="center"/>
    </xf>
    <xf numFmtId="49" fontId="28" fillId="28" borderId="4" xfId="0" applyNumberFormat="1" applyFont="1" applyFill="1" applyBorder="1" applyAlignment="1">
      <alignment horizontal="center" vertical="center" wrapText="1"/>
    </xf>
    <xf numFmtId="49" fontId="29" fillId="0" borderId="4" xfId="0" applyNumberFormat="1" applyFont="1" applyBorder="1" applyAlignment="1">
      <alignment horizontal="center" vertical="center" wrapText="1"/>
    </xf>
    <xf numFmtId="49" fontId="29" fillId="0" borderId="4" xfId="1" applyNumberFormat="1" applyFont="1" applyBorder="1" applyAlignment="1">
      <alignment horizontal="center" vertical="center" wrapText="1"/>
    </xf>
    <xf numFmtId="49" fontId="29" fillId="0" borderId="4" xfId="0" applyNumberFormat="1" applyFont="1" applyBorder="1" applyAlignment="1">
      <alignment horizontal="center" vertical="center"/>
    </xf>
    <xf numFmtId="49" fontId="29" fillId="0" borderId="20" xfId="0" applyNumberFormat="1" applyFont="1" applyBorder="1" applyAlignment="1">
      <alignment horizontal="center" vertical="center"/>
    </xf>
    <xf numFmtId="49" fontId="30" fillId="0" borderId="20" xfId="0" applyNumberFormat="1" applyFont="1" applyBorder="1" applyAlignment="1">
      <alignment horizontal="center" vertical="center"/>
    </xf>
    <xf numFmtId="49" fontId="30" fillId="0" borderId="21" xfId="0" applyNumberFormat="1" applyFont="1" applyBorder="1" applyAlignment="1">
      <alignment horizontal="center" vertical="center"/>
    </xf>
    <xf numFmtId="49" fontId="29" fillId="0" borderId="22" xfId="0" applyNumberFormat="1" applyFont="1" applyBorder="1" applyAlignment="1">
      <alignment horizontal="center" vertical="center"/>
    </xf>
    <xf numFmtId="49" fontId="29" fillId="0" borderId="21" xfId="0" applyNumberFormat="1" applyFont="1" applyBorder="1" applyAlignment="1">
      <alignment horizontal="center" vertical="center"/>
    </xf>
    <xf numFmtId="49" fontId="29" fillId="5" borderId="4" xfId="0" applyNumberFormat="1" applyFont="1" applyFill="1" applyBorder="1" applyAlignment="1">
      <alignment horizontal="center" vertical="center"/>
    </xf>
    <xf numFmtId="0" fontId="31" fillId="0" borderId="0" xfId="0" applyFont="1" applyAlignment="1"/>
    <xf numFmtId="0" fontId="23" fillId="0" borderId="0" xfId="0" applyFont="1" applyAlignment="1"/>
    <xf numFmtId="165" fontId="22" fillId="0" borderId="0" xfId="0" applyNumberFormat="1" applyFont="1" applyAlignment="1">
      <alignment horizontal="left" vertical="center"/>
    </xf>
    <xf numFmtId="0" fontId="35" fillId="29" borderId="4" xfId="0" applyFont="1" applyFill="1" applyBorder="1" applyAlignment="1">
      <alignment wrapText="1"/>
    </xf>
    <xf numFmtId="167" fontId="35" fillId="29" borderId="4" xfId="0" applyNumberFormat="1" applyFont="1" applyFill="1" applyBorder="1" applyAlignment="1">
      <alignment wrapText="1"/>
    </xf>
    <xf numFmtId="0" fontId="36" fillId="29" borderId="4" xfId="0" applyFont="1" applyFill="1" applyBorder="1" applyAlignment="1">
      <alignment wrapText="1"/>
    </xf>
    <xf numFmtId="0" fontId="0" fillId="0" borderId="0" xfId="0" applyAlignment="1"/>
    <xf numFmtId="166" fontId="15" fillId="20" borderId="12" xfId="0" applyNumberFormat="1" applyFont="1" applyFill="1" applyBorder="1" applyAlignment="1">
      <alignment vertical="center" wrapText="1"/>
    </xf>
    <xf numFmtId="166" fontId="15" fillId="19" borderId="12" xfId="0" applyNumberFormat="1" applyFont="1" applyFill="1" applyBorder="1" applyAlignment="1">
      <alignment vertical="center" wrapText="1"/>
    </xf>
    <xf numFmtId="0" fontId="18" fillId="0" borderId="17" xfId="0" applyFont="1" applyBorder="1" applyAlignment="1">
      <alignment vertical="center" wrapText="1"/>
    </xf>
    <xf numFmtId="0" fontId="19" fillId="0" borderId="12" xfId="0" applyFont="1" applyBorder="1" applyAlignment="1">
      <alignment vertical="center" wrapText="1"/>
    </xf>
    <xf numFmtId="0" fontId="19" fillId="0" borderId="11" xfId="0" applyFont="1" applyBorder="1" applyAlignment="1">
      <alignment vertical="center" wrapText="1"/>
    </xf>
    <xf numFmtId="0" fontId="19" fillId="0" borderId="18" xfId="0" applyFont="1" applyBorder="1" applyAlignment="1">
      <alignment vertical="center" wrapText="1"/>
    </xf>
    <xf numFmtId="0" fontId="19" fillId="0" borderId="19" xfId="0" applyFont="1" applyBorder="1" applyAlignment="1">
      <alignment vertical="center" wrapText="1"/>
    </xf>
    <xf numFmtId="0" fontId="19" fillId="0" borderId="13" xfId="0" applyFont="1" applyBorder="1" applyAlignment="1">
      <alignment vertical="center" wrapText="1"/>
    </xf>
    <xf numFmtId="0" fontId="25" fillId="0" borderId="17" xfId="0" applyFont="1" applyBorder="1" applyAlignment="1">
      <alignment vertical="center" wrapText="1"/>
    </xf>
    <xf numFmtId="0" fontId="21" fillId="0" borderId="12" xfId="0" applyFont="1" applyBorder="1">
      <alignment vertical="center"/>
    </xf>
    <xf numFmtId="0" fontId="21" fillId="0" borderId="11" xfId="0" applyFont="1" applyBorder="1">
      <alignment vertical="center"/>
    </xf>
    <xf numFmtId="0" fontId="21" fillId="0" borderId="18" xfId="0" applyFont="1" applyBorder="1">
      <alignment vertical="center"/>
    </xf>
    <xf numFmtId="0" fontId="21" fillId="0" borderId="19" xfId="0" applyFont="1" applyBorder="1">
      <alignment vertical="center"/>
    </xf>
    <xf numFmtId="0" fontId="21" fillId="0" borderId="13" xfId="0" applyFont="1" applyBorder="1">
      <alignment vertical="center"/>
    </xf>
    <xf numFmtId="0" fontId="0" fillId="0" borderId="4" xfId="0" applyBorder="1" applyAlignment="1">
      <alignment vertical="center" wrapText="1"/>
    </xf>
    <xf numFmtId="0" fontId="0" fillId="0" borderId="6" xfId="0" applyBorder="1">
      <alignment vertical="center"/>
    </xf>
    <xf numFmtId="0" fontId="0" fillId="0" borderId="5" xfId="0" applyBorder="1" applyAlignment="1">
      <alignment vertical="center" wrapText="1"/>
    </xf>
    <xf numFmtId="0" fontId="0" fillId="0" borderId="6" xfId="0" applyBorder="1" applyAlignment="1">
      <alignment vertical="center" wrapText="1"/>
    </xf>
    <xf numFmtId="0" fontId="0" fillId="0" borderId="7" xfId="0" applyBorder="1" applyAlignment="1">
      <alignment vertical="center" wrapText="1"/>
    </xf>
    <xf numFmtId="0" fontId="22" fillId="27" borderId="6" xfId="0" applyFont="1" applyFill="1" applyBorder="1">
      <alignment vertical="center"/>
    </xf>
    <xf numFmtId="0" fontId="22" fillId="16" borderId="6" xfId="0" applyFont="1" applyFill="1" applyBorder="1">
      <alignment vertical="center"/>
    </xf>
    <xf numFmtId="0" fontId="14" fillId="0" borderId="5" xfId="0" applyFont="1" applyBorder="1" applyAlignment="1">
      <alignment vertical="center" wrapText="1"/>
    </xf>
    <xf numFmtId="0" fontId="14" fillId="0" borderId="7" xfId="0" applyFont="1" applyBorder="1" applyAlignment="1">
      <alignment vertical="center" wrapText="1"/>
    </xf>
    <xf numFmtId="0" fontId="21" fillId="0" borderId="4" xfId="0" applyFont="1" applyBorder="1">
      <alignment vertical="center"/>
    </xf>
    <xf numFmtId="0" fontId="26" fillId="0" borderId="19" xfId="0" applyFont="1" applyBorder="1" applyAlignment="1">
      <alignment vertical="center" wrapText="1"/>
    </xf>
    <xf numFmtId="0" fontId="27" fillId="0" borderId="19" xfId="0" applyFont="1" applyBorder="1" applyAlignment="1">
      <alignment vertical="center" wrapText="1"/>
    </xf>
    <xf numFmtId="166" fontId="15" fillId="17" borderId="11" xfId="0" applyNumberFormat="1" applyFont="1" applyFill="1" applyBorder="1" applyAlignment="1">
      <alignment vertical="center" wrapText="1"/>
    </xf>
    <xf numFmtId="166" fontId="15" fillId="18" borderId="5" xfId="0" applyNumberFormat="1" applyFont="1" applyFill="1" applyBorder="1" applyAlignment="1">
      <alignment vertical="center" wrapText="1"/>
    </xf>
    <xf numFmtId="166" fontId="17" fillId="22" borderId="5" xfId="0" applyNumberFormat="1" applyFont="1" applyFill="1" applyBorder="1" applyAlignment="1">
      <alignment vertical="center" wrapText="1"/>
    </xf>
    <xf numFmtId="166" fontId="17" fillId="24" borderId="4" xfId="0" applyNumberFormat="1" applyFont="1" applyFill="1" applyBorder="1" applyAlignment="1">
      <alignment vertical="center" wrapText="1"/>
    </xf>
    <xf numFmtId="166" fontId="15" fillId="25" borderId="5" xfId="0" applyNumberFormat="1" applyFont="1" applyFill="1" applyBorder="1" applyAlignment="1">
      <alignment vertical="center" wrapText="1"/>
    </xf>
    <xf numFmtId="166" fontId="15" fillId="22" borderId="5" xfId="0" applyNumberFormat="1" applyFont="1" applyFill="1" applyBorder="1" applyAlignment="1">
      <alignment vertical="center" wrapText="1"/>
    </xf>
    <xf numFmtId="0" fontId="22" fillId="3" borderId="5" xfId="0" applyFont="1" applyFill="1" applyBorder="1">
      <alignment vertical="center"/>
    </xf>
    <xf numFmtId="0" fontId="22" fillId="26" borderId="5" xfId="0" applyFont="1" applyFill="1" applyBorder="1">
      <alignment vertical="center"/>
    </xf>
    <xf numFmtId="0" fontId="38" fillId="0" borderId="0" xfId="0" applyFont="1">
      <alignment vertical="center"/>
    </xf>
    <xf numFmtId="166" fontId="0" fillId="0" borderId="0" xfId="0" applyNumberFormat="1">
      <alignment vertical="center"/>
    </xf>
    <xf numFmtId="16" fontId="0" fillId="7" borderId="4" xfId="0" applyNumberFormat="1" applyFill="1" applyBorder="1" applyAlignment="1">
      <alignment vertical="center" wrapText="1"/>
    </xf>
    <xf numFmtId="0" fontId="0" fillId="7" borderId="5" xfId="0" applyFill="1" applyBorder="1">
      <alignment vertical="center"/>
    </xf>
    <xf numFmtId="0" fontId="0" fillId="7" borderId="6" xfId="0" applyFill="1" applyBorder="1">
      <alignment vertical="center"/>
    </xf>
    <xf numFmtId="0" fontId="0" fillId="11" borderId="5" xfId="0" applyFill="1" applyBorder="1" applyAlignment="1">
      <alignment vertical="center" wrapText="1"/>
    </xf>
    <xf numFmtId="0" fontId="0" fillId="6" borderId="5" xfId="0" applyFill="1" applyBorder="1">
      <alignment vertical="center"/>
    </xf>
    <xf numFmtId="0" fontId="0" fillId="8" borderId="4" xfId="0" applyFill="1" applyBorder="1" applyAlignment="1">
      <alignment vertical="center" wrapText="1"/>
    </xf>
    <xf numFmtId="0" fontId="0" fillId="10" borderId="5" xfId="0" applyFill="1" applyBorder="1" applyAlignment="1">
      <alignment vertical="center" wrapText="1"/>
    </xf>
    <xf numFmtId="0" fontId="0" fillId="8" borderId="7" xfId="0" applyFill="1" applyBorder="1">
      <alignment vertical="center"/>
    </xf>
    <xf numFmtId="165" fontId="0" fillId="8" borderId="6" xfId="0" applyNumberFormat="1" applyFill="1" applyBorder="1">
      <alignment vertical="center"/>
    </xf>
    <xf numFmtId="0" fontId="0" fillId="7" borderId="5" xfId="0" applyFill="1" applyBorder="1" applyAlignment="1">
      <alignment vertical="center" wrapText="1"/>
    </xf>
    <xf numFmtId="0" fontId="0" fillId="7" borderId="6" xfId="0" applyFill="1" applyBorder="1" applyAlignment="1">
      <alignment vertical="center" wrapText="1"/>
    </xf>
    <xf numFmtId="0" fontId="0" fillId="7" borderId="4" xfId="0" applyFill="1" applyBorder="1" applyAlignment="1">
      <alignment vertical="center" wrapText="1"/>
    </xf>
    <xf numFmtId="0" fontId="38" fillId="13" borderId="4" xfId="0" applyFont="1" applyFill="1" applyBorder="1" applyAlignment="1">
      <alignment vertical="center" wrapText="1"/>
    </xf>
    <xf numFmtId="0" fontId="0" fillId="11" borderId="6" xfId="0" applyFill="1" applyBorder="1">
      <alignment vertical="center"/>
    </xf>
    <xf numFmtId="0" fontId="0" fillId="10" borderId="5" xfId="0" applyFill="1" applyBorder="1">
      <alignment vertical="center"/>
    </xf>
    <xf numFmtId="0" fontId="0" fillId="11" borderId="5" xfId="0" applyFill="1" applyBorder="1">
      <alignment vertical="center"/>
    </xf>
    <xf numFmtId="0" fontId="38" fillId="7" borderId="4" xfId="0" applyFont="1" applyFill="1" applyBorder="1">
      <alignment vertical="center"/>
    </xf>
    <xf numFmtId="166" fontId="0" fillId="7" borderId="6" xfId="0" applyNumberFormat="1" applyFill="1" applyBorder="1">
      <alignment vertical="center"/>
    </xf>
    <xf numFmtId="0" fontId="38" fillId="7" borderId="0" xfId="0" applyFont="1" applyFill="1">
      <alignment vertical="center"/>
    </xf>
    <xf numFmtId="0" fontId="0" fillId="7" borderId="0" xfId="0" applyFill="1">
      <alignment vertical="center"/>
    </xf>
    <xf numFmtId="166" fontId="0" fillId="7" borderId="0" xfId="0" applyNumberFormat="1" applyFill="1">
      <alignment vertical="center"/>
    </xf>
    <xf numFmtId="168" fontId="35" fillId="29" borderId="4" xfId="0" applyNumberFormat="1" applyFont="1" applyFill="1" applyBorder="1" applyAlignment="1">
      <alignment wrapText="1"/>
    </xf>
    <xf numFmtId="168" fontId="0" fillId="0" borderId="0" xfId="0" applyNumberFormat="1">
      <alignment vertical="center"/>
    </xf>
    <xf numFmtId="168" fontId="0" fillId="7" borderId="0" xfId="0" applyNumberFormat="1" applyFill="1">
      <alignment vertical="center"/>
    </xf>
    <xf numFmtId="16" fontId="0" fillId="8" borderId="4" xfId="0" applyNumberFormat="1" applyFill="1" applyBorder="1">
      <alignment vertical="center"/>
    </xf>
    <xf numFmtId="16" fontId="0" fillId="8" borderId="5" xfId="0" applyNumberFormat="1" applyFill="1" applyBorder="1">
      <alignment vertical="center"/>
    </xf>
    <xf numFmtId="16" fontId="38" fillId="8" borderId="5" xfId="0" applyNumberFormat="1" applyFont="1" applyFill="1" applyBorder="1">
      <alignment vertical="center"/>
    </xf>
    <xf numFmtId="16" fontId="0" fillId="8" borderId="6" xfId="0" applyNumberFormat="1" applyFill="1" applyBorder="1">
      <alignment vertical="center"/>
    </xf>
    <xf numFmtId="0" fontId="38" fillId="6" borderId="4" xfId="0" applyFont="1" applyFill="1" applyBorder="1">
      <alignment vertical="center"/>
    </xf>
    <xf numFmtId="16" fontId="0" fillId="0" borderId="0" xfId="0" applyNumberFormat="1">
      <alignment vertical="center"/>
    </xf>
    <xf numFmtId="166" fontId="38" fillId="0" borderId="0" xfId="0" applyNumberFormat="1" applyFont="1">
      <alignment vertical="center"/>
    </xf>
    <xf numFmtId="166" fontId="38" fillId="11" borderId="6" xfId="0" applyNumberFormat="1" applyFont="1" applyFill="1" applyBorder="1" applyAlignment="1">
      <alignment vertical="center" wrapText="1"/>
    </xf>
    <xf numFmtId="0" fontId="38" fillId="6" borderId="5" xfId="0" applyFont="1" applyFill="1" applyBorder="1">
      <alignment vertical="center"/>
    </xf>
    <xf numFmtId="165" fontId="38" fillId="10" borderId="5" xfId="0" applyNumberFormat="1" applyFont="1" applyFill="1" applyBorder="1">
      <alignment vertical="center"/>
    </xf>
    <xf numFmtId="0" fontId="38" fillId="9" borderId="4" xfId="0" applyFont="1" applyFill="1" applyBorder="1" applyAlignment="1">
      <alignment vertical="center" wrapText="1"/>
    </xf>
    <xf numFmtId="165" fontId="0" fillId="6" borderId="4" xfId="0" applyNumberFormat="1" applyFill="1" applyBorder="1" applyAlignment="1">
      <alignment horizontal="center" vertical="center"/>
    </xf>
    <xf numFmtId="0" fontId="0" fillId="6" borderId="4" xfId="0" applyFill="1" applyBorder="1" applyAlignment="1">
      <alignment horizontal="center" vertical="center"/>
    </xf>
    <xf numFmtId="16" fontId="0" fillId="7" borderId="4" xfId="0" applyNumberFormat="1" applyFill="1" applyBorder="1" applyAlignment="1">
      <alignment horizontal="center" vertical="center" wrapText="1"/>
    </xf>
    <xf numFmtId="0" fontId="0" fillId="7" borderId="4" xfId="0" applyFill="1" applyBorder="1" applyAlignment="1">
      <alignment horizontal="center" vertical="center"/>
    </xf>
    <xf numFmtId="0" fontId="0" fillId="7" borderId="6" xfId="0" applyFill="1" applyBorder="1" applyAlignment="1">
      <alignment horizontal="center" vertical="center"/>
    </xf>
    <xf numFmtId="0" fontId="0" fillId="7" borderId="7" xfId="0" applyFill="1" applyBorder="1" applyAlignment="1">
      <alignment horizontal="center" vertical="center"/>
    </xf>
    <xf numFmtId="0" fontId="0" fillId="7" borderId="5" xfId="0" applyFill="1" applyBorder="1" applyAlignment="1">
      <alignment horizontal="center" vertical="center"/>
    </xf>
    <xf numFmtId="0" fontId="0" fillId="7" borderId="4" xfId="0" applyFill="1" applyBorder="1" applyAlignment="1">
      <alignment horizontal="center" vertical="center" wrapText="1"/>
    </xf>
    <xf numFmtId="0" fontId="0" fillId="7" borderId="5" xfId="0" applyFill="1" applyBorder="1" applyAlignment="1">
      <alignment horizontal="center" vertical="center" wrapText="1"/>
    </xf>
    <xf numFmtId="0" fontId="0" fillId="7" borderId="6" xfId="0" applyFill="1" applyBorder="1" applyAlignment="1">
      <alignment horizontal="center" vertical="center" wrapText="1"/>
    </xf>
    <xf numFmtId="0" fontId="0" fillId="7" borderId="7" xfId="0" applyFill="1" applyBorder="1" applyAlignment="1">
      <alignment horizontal="center" vertical="center" wrapText="1"/>
    </xf>
    <xf numFmtId="0" fontId="0" fillId="9" borderId="5" xfId="0" applyFill="1" applyBorder="1" applyAlignment="1">
      <alignment horizontal="center" vertical="center"/>
    </xf>
    <xf numFmtId="0" fontId="0" fillId="9" borderId="6" xfId="0" applyFill="1" applyBorder="1" applyAlignment="1">
      <alignment horizontal="center" vertical="center"/>
    </xf>
    <xf numFmtId="0" fontId="0" fillId="9" borderId="7" xfId="0" applyFill="1" applyBorder="1" applyAlignment="1">
      <alignment horizontal="center" vertical="center"/>
    </xf>
    <xf numFmtId="0" fontId="0" fillId="12" borderId="5" xfId="0" applyFill="1" applyBorder="1" applyAlignment="1">
      <alignment horizontal="center" vertical="center" wrapText="1"/>
    </xf>
    <xf numFmtId="0" fontId="0" fillId="12" borderId="6" xfId="0" applyFill="1" applyBorder="1" applyAlignment="1">
      <alignment horizontal="center" vertical="center" wrapText="1"/>
    </xf>
    <xf numFmtId="0" fontId="0" fillId="12" borderId="7" xfId="0" applyFill="1" applyBorder="1" applyAlignment="1">
      <alignment horizontal="center" vertical="center" wrapText="1"/>
    </xf>
    <xf numFmtId="0" fontId="0" fillId="11" borderId="5" xfId="0" applyFill="1" applyBorder="1" applyAlignment="1">
      <alignment horizontal="center" vertical="center"/>
    </xf>
    <xf numFmtId="0" fontId="0" fillId="11" borderId="6" xfId="0" applyFill="1" applyBorder="1" applyAlignment="1">
      <alignment horizontal="center" vertical="center"/>
    </xf>
    <xf numFmtId="0" fontId="0" fillId="11" borderId="7" xfId="0" applyFill="1" applyBorder="1" applyAlignment="1">
      <alignment horizontal="center" vertical="center"/>
    </xf>
    <xf numFmtId="0" fontId="38" fillId="11" borderId="4" xfId="0" applyFont="1" applyFill="1" applyBorder="1" applyAlignment="1">
      <alignment horizontal="center" vertical="center"/>
    </xf>
    <xf numFmtId="0" fontId="0" fillId="11" borderId="4" xfId="0" applyFill="1" applyBorder="1" applyAlignment="1">
      <alignment horizontal="center" vertical="center"/>
    </xf>
    <xf numFmtId="0" fontId="38" fillId="6" borderId="4" xfId="0" applyFont="1" applyFill="1" applyBorder="1" applyAlignment="1">
      <alignment horizontal="center" vertical="center"/>
    </xf>
    <xf numFmtId="0" fontId="0" fillId="6" borderId="5" xfId="0" applyFill="1" applyBorder="1" applyAlignment="1">
      <alignment horizontal="center" vertical="center"/>
    </xf>
    <xf numFmtId="0" fontId="0" fillId="6" borderId="6" xfId="0" applyFill="1" applyBorder="1" applyAlignment="1">
      <alignment horizontal="center" vertical="center"/>
    </xf>
    <xf numFmtId="0" fontId="0" fillId="6" borderId="7" xfId="0" applyFill="1" applyBorder="1" applyAlignment="1">
      <alignment horizontal="center" vertical="center"/>
    </xf>
    <xf numFmtId="0" fontId="0" fillId="8" borderId="4" xfId="0" applyFill="1" applyBorder="1" applyAlignment="1">
      <alignment horizontal="center" vertical="center"/>
    </xf>
    <xf numFmtId="0" fontId="0" fillId="8" borderId="5" xfId="0" applyFill="1" applyBorder="1" applyAlignment="1">
      <alignment horizontal="center" vertical="center"/>
    </xf>
    <xf numFmtId="0" fontId="0" fillId="8" borderId="6" xfId="0" applyFill="1" applyBorder="1" applyAlignment="1">
      <alignment horizontal="center" vertical="center"/>
    </xf>
    <xf numFmtId="0" fontId="0" fillId="8" borderId="7" xfId="0" applyFill="1" applyBorder="1" applyAlignment="1">
      <alignment horizontal="center" vertical="center"/>
    </xf>
    <xf numFmtId="0" fontId="0" fillId="9" borderId="4" xfId="0" applyFill="1" applyBorder="1" applyAlignment="1">
      <alignment horizontal="center" vertical="center"/>
    </xf>
    <xf numFmtId="0" fontId="38" fillId="10" borderId="5" xfId="0" applyFont="1" applyFill="1" applyBorder="1" applyAlignment="1">
      <alignment horizontal="center" vertical="center"/>
    </xf>
    <xf numFmtId="0" fontId="0" fillId="10" borderId="6" xfId="0" applyFill="1" applyBorder="1" applyAlignment="1">
      <alignment horizontal="center" vertical="center"/>
    </xf>
    <xf numFmtId="0" fontId="0" fillId="10" borderId="7" xfId="0" applyFill="1" applyBorder="1" applyAlignment="1">
      <alignment horizontal="center" vertical="center"/>
    </xf>
    <xf numFmtId="0" fontId="0" fillId="10" borderId="5" xfId="0" applyFill="1" applyBorder="1" applyAlignment="1">
      <alignment horizontal="center" vertical="center"/>
    </xf>
    <xf numFmtId="0" fontId="38" fillId="8" borderId="6" xfId="0" applyFont="1" applyFill="1" applyBorder="1" applyAlignment="1">
      <alignment horizontal="center" vertical="center"/>
    </xf>
    <xf numFmtId="0" fontId="38" fillId="7" borderId="4" xfId="0" applyFont="1" applyFill="1" applyBorder="1" applyAlignment="1">
      <alignment horizontal="center" vertical="center"/>
    </xf>
    <xf numFmtId="0" fontId="38" fillId="7" borderId="6" xfId="0" applyFont="1" applyFill="1" applyBorder="1" applyAlignment="1">
      <alignment horizontal="center" vertical="center"/>
    </xf>
    <xf numFmtId="0" fontId="38" fillId="7" borderId="4" xfId="0" applyFont="1" applyFill="1" applyBorder="1" applyAlignment="1">
      <alignment horizontal="center" vertical="center" wrapText="1"/>
    </xf>
    <xf numFmtId="0" fontId="37" fillId="4" borderId="5" xfId="0" applyFont="1" applyFill="1" applyBorder="1" applyAlignment="1">
      <alignment horizontal="center" vertical="center"/>
    </xf>
    <xf numFmtId="0" fontId="7" fillId="4" borderId="6" xfId="0" applyFont="1" applyFill="1" applyBorder="1" applyAlignment="1">
      <alignment horizontal="center" vertical="center"/>
    </xf>
    <xf numFmtId="0" fontId="37" fillId="5" borderId="5" xfId="0" applyFont="1" applyFill="1" applyBorder="1" applyAlignment="1">
      <alignment horizontal="center" vertical="center"/>
    </xf>
    <xf numFmtId="0" fontId="7" fillId="5" borderId="6" xfId="0" applyFont="1" applyFill="1" applyBorder="1" applyAlignment="1">
      <alignment horizontal="center" vertical="center"/>
    </xf>
    <xf numFmtId="0" fontId="7" fillId="5" borderId="7" xfId="0" applyFont="1" applyFill="1" applyBorder="1" applyAlignment="1">
      <alignment horizontal="center" vertical="center"/>
    </xf>
    <xf numFmtId="0" fontId="7" fillId="4" borderId="4" xfId="0" applyFont="1" applyFill="1" applyBorder="1" applyAlignment="1">
      <alignment horizontal="center" vertical="center"/>
    </xf>
    <xf numFmtId="0" fontId="7" fillId="5" borderId="5" xfId="0" applyFont="1" applyFill="1" applyBorder="1" applyAlignment="1">
      <alignment horizontal="center" vertical="center"/>
    </xf>
    <xf numFmtId="0" fontId="7" fillId="3" borderId="4" xfId="0" applyFont="1" applyFill="1" applyBorder="1" applyAlignment="1">
      <alignment horizontal="center" vertical="center"/>
    </xf>
    <xf numFmtId="0" fontId="5" fillId="3" borderId="4" xfId="0" applyFont="1" applyFill="1" applyBorder="1" applyAlignment="1">
      <alignment horizontal="center" vertical="center"/>
    </xf>
    <xf numFmtId="0" fontId="6" fillId="3" borderId="4" xfId="0" applyFont="1" applyFill="1" applyBorder="1" applyAlignment="1">
      <alignment horizontal="center" vertical="center"/>
    </xf>
    <xf numFmtId="0" fontId="5" fillId="3" borderId="4"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8" fillId="0" borderId="4" xfId="0" applyFont="1" applyBorder="1" applyAlignment="1">
      <alignment horizontal="center" vertical="center"/>
    </xf>
    <xf numFmtId="0" fontId="8" fillId="0" borderId="4" xfId="0" applyFont="1" applyBorder="1" applyAlignment="1">
      <alignment horizontal="center" vertical="center" wrapText="1"/>
    </xf>
    <xf numFmtId="0" fontId="9" fillId="0" borderId="4" xfId="0" applyFont="1" applyBorder="1" applyAlignment="1">
      <alignment horizontal="center" vertical="center"/>
    </xf>
    <xf numFmtId="0" fontId="2" fillId="0" borderId="1" xfId="0" applyFont="1" applyBorder="1" applyAlignment="1">
      <alignment horizontal="left"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1" xfId="0" applyFont="1" applyBorder="1" applyAlignment="1">
      <alignment horizontal="left" vertical="top"/>
    </xf>
    <xf numFmtId="0" fontId="2" fillId="0" borderId="2" xfId="0" applyFont="1" applyBorder="1" applyAlignment="1">
      <alignment horizontal="left" vertical="top"/>
    </xf>
    <xf numFmtId="0" fontId="2" fillId="0" borderId="3" xfId="0" applyFont="1" applyBorder="1" applyAlignment="1">
      <alignment horizontal="left" vertical="top"/>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cellXfs>
  <cellStyles count="2">
    <cellStyle name="Обычный" xfId="0" builtinId="0"/>
    <cellStyle name="常规_中东 印巴 红海0221" xfId="1" xr:uid="{00000000-0005-0000-0000-00003100000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mruColors>
      <color rgb="FFEF949F"/>
      <color rgb="FFC9E4B4"/>
      <color rgb="FF92D050"/>
      <color rgb="FFFADADE"/>
      <color rgb="FFA8EAE4"/>
      <color rgb="FFD9E1F4"/>
      <color rgb="FFFFF3CA"/>
      <color rgb="FFFF0000"/>
      <color rgb="FF000000"/>
      <color rgb="FFFCE4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Structure" Target="richData/rdrichvaluestructure.xml"/><Relationship Id="rId5" Type="http://schemas.openxmlformats.org/officeDocument/2006/relationships/worksheet" Target="worksheets/sheet5.xml"/><Relationship Id="rId10"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sheetMetadata" Target="metadata.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1</v>
    <v>1</v>
  </rv>
  <rv s="1">
    <v>8</v>
    <v>1</v>
  </rv>
</rvData>
</file>

<file path=xl/richData/rdrichvaluestructure.xml><?xml version="1.0" encoding="utf-8"?>
<rvStructures xmlns="http://schemas.microsoft.com/office/spreadsheetml/2017/richdata" count="2">
  <s t="_error">
    <k n="colOffset" t="i"/>
    <k n="errorType" t="i"/>
    <k n="rwOffset" t="i"/>
    <k n="subType" t="i"/>
  </s>
  <s t="_error">
    <k n="errorType" t="i"/>
    <k n="propagated" t="b"/>
  </s>
</rvStructure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6"/>
  <sheetViews>
    <sheetView topLeftCell="A79" workbookViewId="0">
      <selection activeCell="A109" sqref="A109"/>
    </sheetView>
  </sheetViews>
  <sheetFormatPr baseColWidth="10" defaultColWidth="9" defaultRowHeight="15"/>
  <cols>
    <col min="1" max="1" width="15.33203125" customWidth="1"/>
    <col min="2" max="2" width="25.33203125" customWidth="1"/>
    <col min="3" max="3" width="17.5" customWidth="1"/>
    <col min="4" max="5" width="14.6640625" customWidth="1"/>
    <col min="6" max="6" width="15.5" customWidth="1"/>
    <col min="7" max="7" width="14.6640625" customWidth="1"/>
    <col min="8" max="8" width="19.5" customWidth="1"/>
    <col min="9" max="9" width="46.6640625" customWidth="1"/>
  </cols>
  <sheetData>
    <row r="1" spans="1:9" ht="43" customHeight="1">
      <c r="A1" s="51" t="s">
        <v>0</v>
      </c>
      <c r="B1" s="52"/>
      <c r="C1" s="52"/>
      <c r="D1" s="52"/>
      <c r="E1" s="52"/>
      <c r="F1" s="52"/>
      <c r="G1" s="52"/>
      <c r="H1" s="53"/>
      <c r="I1" s="147"/>
    </row>
    <row r="2" spans="1:9" ht="56" customHeight="1">
      <c r="A2" s="54" t="s">
        <v>1</v>
      </c>
      <c r="B2" s="55" t="s">
        <v>2</v>
      </c>
      <c r="C2" s="56" t="s">
        <v>3</v>
      </c>
      <c r="D2" s="57" t="s">
        <v>331</v>
      </c>
      <c r="E2" s="57" t="s">
        <v>332</v>
      </c>
      <c r="F2" s="57" t="s">
        <v>333</v>
      </c>
      <c r="G2" s="57" t="s">
        <v>334</v>
      </c>
      <c r="H2" s="57" t="s">
        <v>4</v>
      </c>
      <c r="I2" s="148" t="s">
        <v>5</v>
      </c>
    </row>
    <row r="3" spans="1:9" ht="15" customHeight="1">
      <c r="A3" s="58" t="s">
        <v>6</v>
      </c>
      <c r="B3" s="59" t="s">
        <v>7</v>
      </c>
      <c r="C3" s="60" t="s">
        <v>8</v>
      </c>
      <c r="D3" s="61">
        <v>1550</v>
      </c>
      <c r="E3" s="61">
        <v>2500</v>
      </c>
      <c r="F3" s="61">
        <v>2850</v>
      </c>
      <c r="G3" s="61">
        <v>4500</v>
      </c>
      <c r="H3" s="62">
        <v>45763</v>
      </c>
      <c r="I3" s="147"/>
    </row>
    <row r="4" spans="1:9" ht="15" customHeight="1">
      <c r="A4" s="197" t="s">
        <v>9</v>
      </c>
      <c r="B4" s="63" t="s">
        <v>10</v>
      </c>
      <c r="C4" s="64" t="s">
        <v>11</v>
      </c>
      <c r="D4" s="65">
        <v>1075</v>
      </c>
      <c r="E4" s="65">
        <v>1200</v>
      </c>
      <c r="F4" s="65">
        <v>1825</v>
      </c>
      <c r="G4" s="65">
        <v>2550</v>
      </c>
      <c r="H4" s="66">
        <v>45770</v>
      </c>
      <c r="I4" s="147" t="s">
        <v>12</v>
      </c>
    </row>
    <row r="5" spans="1:9" ht="15" customHeight="1">
      <c r="A5" s="197" t="s">
        <v>9</v>
      </c>
      <c r="B5" s="67" t="s">
        <v>7</v>
      </c>
      <c r="C5" s="68" t="s">
        <v>8</v>
      </c>
      <c r="D5" s="65">
        <v>950</v>
      </c>
      <c r="E5" s="65">
        <v>1400</v>
      </c>
      <c r="F5" s="65">
        <v>1700</v>
      </c>
      <c r="G5" s="65">
        <v>2750</v>
      </c>
      <c r="H5" s="66">
        <v>45763</v>
      </c>
      <c r="I5" s="147" t="s">
        <v>13</v>
      </c>
    </row>
    <row r="6" spans="1:9" ht="15" customHeight="1">
      <c r="A6" s="197" t="s">
        <v>9</v>
      </c>
      <c r="B6" s="63" t="s">
        <v>14</v>
      </c>
      <c r="C6" s="69" t="s">
        <v>15</v>
      </c>
      <c r="D6" s="65">
        <v>975</v>
      </c>
      <c r="E6" s="65">
        <v>1175</v>
      </c>
      <c r="F6" s="65">
        <v>1725</v>
      </c>
      <c r="G6" s="65">
        <v>2525</v>
      </c>
      <c r="H6" s="66">
        <v>45765</v>
      </c>
      <c r="I6" s="147"/>
    </row>
    <row r="7" spans="1:9" ht="15" customHeight="1">
      <c r="A7" s="70" t="s">
        <v>16</v>
      </c>
      <c r="B7" s="71" t="s">
        <v>7</v>
      </c>
      <c r="C7" s="72" t="s">
        <v>8</v>
      </c>
      <c r="D7" s="73">
        <v>850</v>
      </c>
      <c r="E7" s="73">
        <v>1150</v>
      </c>
      <c r="F7" s="73">
        <v>1600</v>
      </c>
      <c r="G7" s="73">
        <v>2550</v>
      </c>
      <c r="H7" s="74">
        <v>45764</v>
      </c>
      <c r="I7" s="147"/>
    </row>
    <row r="8" spans="1:9" ht="15" customHeight="1">
      <c r="A8" s="198" t="s">
        <v>17</v>
      </c>
      <c r="B8" s="75" t="s">
        <v>10</v>
      </c>
      <c r="C8" s="76" t="s">
        <v>11</v>
      </c>
      <c r="D8" s="73">
        <v>1075</v>
      </c>
      <c r="E8" s="73">
        <v>1200</v>
      </c>
      <c r="F8" s="73">
        <v>1825</v>
      </c>
      <c r="G8" s="73">
        <v>2600</v>
      </c>
      <c r="H8" s="74">
        <v>45769</v>
      </c>
      <c r="I8" s="147" t="s">
        <v>18</v>
      </c>
    </row>
    <row r="9" spans="1:9" ht="15" customHeight="1">
      <c r="A9" s="198" t="s">
        <v>17</v>
      </c>
      <c r="B9" s="71" t="s">
        <v>14</v>
      </c>
      <c r="C9" s="77" t="s">
        <v>15</v>
      </c>
      <c r="D9" s="73">
        <v>975</v>
      </c>
      <c r="E9" s="73">
        <v>1175</v>
      </c>
      <c r="F9" s="73">
        <v>1725</v>
      </c>
      <c r="G9" s="73">
        <v>2575</v>
      </c>
      <c r="H9" s="74">
        <v>45761</v>
      </c>
      <c r="I9" s="147"/>
    </row>
    <row r="10" spans="1:9" ht="15" customHeight="1">
      <c r="A10" s="172" t="s">
        <v>19</v>
      </c>
      <c r="B10" s="78" t="s">
        <v>10</v>
      </c>
      <c r="C10" s="79" t="s">
        <v>11</v>
      </c>
      <c r="D10" s="80">
        <v>1075</v>
      </c>
      <c r="E10" s="80">
        <v>1200</v>
      </c>
      <c r="F10" s="80">
        <v>1825</v>
      </c>
      <c r="G10" s="80">
        <v>2800</v>
      </c>
      <c r="H10" s="81">
        <v>45772</v>
      </c>
      <c r="I10" s="147"/>
    </row>
    <row r="11" spans="1:9" ht="15" customHeight="1">
      <c r="A11" s="172" t="s">
        <v>19</v>
      </c>
      <c r="B11" s="82" t="s">
        <v>7</v>
      </c>
      <c r="C11" s="83" t="s">
        <v>20</v>
      </c>
      <c r="D11" s="80">
        <v>850</v>
      </c>
      <c r="E11" s="80">
        <v>1100</v>
      </c>
      <c r="F11" s="80">
        <v>1600</v>
      </c>
      <c r="G11" s="80">
        <v>2700</v>
      </c>
      <c r="H11" s="84">
        <v>45759</v>
      </c>
      <c r="I11" s="147" t="s">
        <v>21</v>
      </c>
    </row>
    <row r="12" spans="1:9" ht="15" customHeight="1">
      <c r="A12" s="172" t="s">
        <v>19</v>
      </c>
      <c r="B12" s="85" t="s">
        <v>14</v>
      </c>
      <c r="C12" s="83" t="s">
        <v>15</v>
      </c>
      <c r="D12" s="80">
        <v>950</v>
      </c>
      <c r="E12" s="80">
        <v>1100</v>
      </c>
      <c r="F12" s="80">
        <v>1700</v>
      </c>
      <c r="G12" s="80">
        <v>2700</v>
      </c>
      <c r="H12" s="84">
        <v>45763</v>
      </c>
      <c r="I12" s="147"/>
    </row>
    <row r="13" spans="1:9" ht="15" customHeight="1">
      <c r="A13" s="171" t="s">
        <v>22</v>
      </c>
      <c r="B13" s="86" t="s">
        <v>7</v>
      </c>
      <c r="C13" s="87" t="s">
        <v>23</v>
      </c>
      <c r="D13" s="88">
        <v>680</v>
      </c>
      <c r="E13" s="88">
        <v>960</v>
      </c>
      <c r="F13" s="88">
        <v>1430</v>
      </c>
      <c r="G13" s="88">
        <v>2110</v>
      </c>
      <c r="H13" s="89">
        <v>45765</v>
      </c>
      <c r="I13" s="147"/>
    </row>
    <row r="14" spans="1:9" ht="15" customHeight="1">
      <c r="A14" s="171" t="s">
        <v>22</v>
      </c>
      <c r="B14" s="86" t="s">
        <v>7</v>
      </c>
      <c r="C14" s="87" t="s">
        <v>8</v>
      </c>
      <c r="D14" s="88">
        <v>680</v>
      </c>
      <c r="E14" s="88">
        <v>960</v>
      </c>
      <c r="F14" s="88">
        <v>1430</v>
      </c>
      <c r="G14" s="88">
        <v>2110</v>
      </c>
      <c r="H14" s="89">
        <v>45765</v>
      </c>
      <c r="I14" s="147"/>
    </row>
    <row r="15" spans="1:9" ht="15" customHeight="1">
      <c r="A15" s="171" t="s">
        <v>22</v>
      </c>
      <c r="B15" s="86" t="s">
        <v>14</v>
      </c>
      <c r="C15" s="90" t="s">
        <v>15</v>
      </c>
      <c r="D15" s="88">
        <v>850</v>
      </c>
      <c r="E15" s="88">
        <v>1000</v>
      </c>
      <c r="F15" s="88">
        <v>1600</v>
      </c>
      <c r="G15" s="88">
        <v>2150</v>
      </c>
      <c r="H15" s="89">
        <v>45761</v>
      </c>
      <c r="I15" s="147" t="s">
        <v>24</v>
      </c>
    </row>
    <row r="16" spans="1:9" ht="15" customHeight="1">
      <c r="A16" s="171" t="s">
        <v>22</v>
      </c>
      <c r="B16" s="91" t="s">
        <v>10</v>
      </c>
      <c r="C16" s="92" t="s">
        <v>11</v>
      </c>
      <c r="D16" s="88">
        <v>940</v>
      </c>
      <c r="E16" s="88">
        <v>1115</v>
      </c>
      <c r="F16" s="88">
        <v>1690</v>
      </c>
      <c r="G16" s="88">
        <v>2265</v>
      </c>
      <c r="H16" s="89">
        <v>45762</v>
      </c>
      <c r="I16" s="147" t="s">
        <v>18</v>
      </c>
    </row>
    <row r="17" spans="1:9" ht="15" customHeight="1">
      <c r="A17" s="171" t="s">
        <v>22</v>
      </c>
      <c r="B17" s="91" t="s">
        <v>7</v>
      </c>
      <c r="C17" s="87" t="s">
        <v>25</v>
      </c>
      <c r="D17" s="88">
        <v>750</v>
      </c>
      <c r="E17" s="88">
        <v>1000</v>
      </c>
      <c r="F17" s="88">
        <v>1500</v>
      </c>
      <c r="G17" s="88">
        <v>2150</v>
      </c>
      <c r="H17" s="89">
        <v>45760</v>
      </c>
      <c r="I17" s="147" t="s">
        <v>26</v>
      </c>
    </row>
    <row r="18" spans="1:9" ht="15" customHeight="1">
      <c r="A18" s="171" t="s">
        <v>22</v>
      </c>
      <c r="B18" s="91" t="s">
        <v>10</v>
      </c>
      <c r="C18" s="87" t="s">
        <v>27</v>
      </c>
      <c r="D18" s="88">
        <v>750</v>
      </c>
      <c r="E18" s="88">
        <v>900</v>
      </c>
      <c r="F18" s="88">
        <v>1500</v>
      </c>
      <c r="G18" s="88">
        <v>2050</v>
      </c>
      <c r="H18" s="89">
        <v>45762</v>
      </c>
      <c r="I18" s="147"/>
    </row>
    <row r="19" spans="1:9" ht="15" customHeight="1">
      <c r="A19" s="93" t="s">
        <v>28</v>
      </c>
      <c r="B19" s="94" t="s">
        <v>10</v>
      </c>
      <c r="C19" s="95" t="s">
        <v>29</v>
      </c>
      <c r="D19" s="96">
        <v>650</v>
      </c>
      <c r="E19" s="96">
        <v>900</v>
      </c>
      <c r="F19" s="96">
        <v>1400</v>
      </c>
      <c r="G19" s="96">
        <v>2050</v>
      </c>
      <c r="H19" s="97">
        <v>45762</v>
      </c>
      <c r="I19" s="147"/>
    </row>
    <row r="20" spans="1:9" ht="15" customHeight="1">
      <c r="A20" s="199" t="s">
        <v>30</v>
      </c>
      <c r="B20" s="98" t="s">
        <v>10</v>
      </c>
      <c r="C20" s="99" t="s">
        <v>11</v>
      </c>
      <c r="D20" s="100">
        <v>925</v>
      </c>
      <c r="E20" s="100">
        <v>1100</v>
      </c>
      <c r="F20" s="100">
        <v>1675</v>
      </c>
      <c r="G20" s="100">
        <v>2400</v>
      </c>
      <c r="H20" s="101">
        <v>45770</v>
      </c>
      <c r="I20" s="147"/>
    </row>
    <row r="21" spans="1:9" ht="15" customHeight="1">
      <c r="A21" s="199" t="s">
        <v>30</v>
      </c>
      <c r="B21" s="98" t="s">
        <v>14</v>
      </c>
      <c r="C21" s="102" t="s">
        <v>15</v>
      </c>
      <c r="D21" s="100">
        <v>900</v>
      </c>
      <c r="E21" s="100">
        <v>1150</v>
      </c>
      <c r="F21" s="100">
        <v>1650</v>
      </c>
      <c r="G21" s="100">
        <v>2450</v>
      </c>
      <c r="H21" s="101">
        <v>45765</v>
      </c>
      <c r="I21" s="147"/>
    </row>
    <row r="22" spans="1:9" ht="15" customHeight="1">
      <c r="A22" s="199" t="s">
        <v>30</v>
      </c>
      <c r="B22" s="98" t="s">
        <v>7</v>
      </c>
      <c r="C22" s="103" t="s">
        <v>23</v>
      </c>
      <c r="D22" s="100">
        <v>700</v>
      </c>
      <c r="E22" s="100">
        <v>950</v>
      </c>
      <c r="F22" s="100">
        <v>1450</v>
      </c>
      <c r="G22" s="100">
        <v>2250</v>
      </c>
      <c r="H22" s="101">
        <v>45763</v>
      </c>
      <c r="I22" s="147"/>
    </row>
    <row r="23" spans="1:9" ht="15" customHeight="1">
      <c r="A23" s="199" t="s">
        <v>30</v>
      </c>
      <c r="B23" s="104" t="s">
        <v>7</v>
      </c>
      <c r="C23" s="105" t="s">
        <v>8</v>
      </c>
      <c r="D23" s="100">
        <v>700</v>
      </c>
      <c r="E23" s="100">
        <v>950</v>
      </c>
      <c r="F23" s="100">
        <v>1450</v>
      </c>
      <c r="G23" s="100">
        <v>2250</v>
      </c>
      <c r="H23" s="101">
        <v>45763</v>
      </c>
      <c r="I23" s="147"/>
    </row>
    <row r="24" spans="1:9" ht="15" customHeight="1">
      <c r="A24" s="199" t="s">
        <v>30</v>
      </c>
      <c r="B24" s="106" t="s">
        <v>14</v>
      </c>
      <c r="C24" s="107" t="s">
        <v>31</v>
      </c>
      <c r="D24" s="100">
        <v>800</v>
      </c>
      <c r="E24" s="100">
        <v>975</v>
      </c>
      <c r="F24" s="100">
        <v>1550</v>
      </c>
      <c r="G24" s="100">
        <v>2275</v>
      </c>
      <c r="H24" s="108">
        <v>45766</v>
      </c>
      <c r="I24" s="147"/>
    </row>
    <row r="25" spans="1:9" ht="15" customHeight="1">
      <c r="A25" s="199" t="s">
        <v>30</v>
      </c>
      <c r="B25" s="98" t="s">
        <v>10</v>
      </c>
      <c r="C25" s="107" t="s">
        <v>32</v>
      </c>
      <c r="D25" s="100">
        <v>700</v>
      </c>
      <c r="E25" s="100">
        <v>900</v>
      </c>
      <c r="F25" s="100">
        <v>1450</v>
      </c>
      <c r="G25" s="100">
        <v>2200</v>
      </c>
      <c r="H25" s="109">
        <v>45764</v>
      </c>
      <c r="I25" s="147"/>
    </row>
    <row r="26" spans="1:9" ht="15" customHeight="1">
      <c r="A26" s="199" t="s">
        <v>30</v>
      </c>
      <c r="B26" s="98" t="s">
        <v>33</v>
      </c>
      <c r="C26" s="107" t="s">
        <v>32</v>
      </c>
      <c r="D26" s="100">
        <v>700</v>
      </c>
      <c r="E26" s="100">
        <v>900</v>
      </c>
      <c r="F26" s="100">
        <v>1450</v>
      </c>
      <c r="G26" s="100">
        <v>2200</v>
      </c>
      <c r="H26" s="109">
        <v>45764</v>
      </c>
      <c r="I26" s="147"/>
    </row>
    <row r="27" spans="1:9" ht="15" customHeight="1">
      <c r="A27" s="199" t="s">
        <v>30</v>
      </c>
      <c r="B27" s="98" t="s">
        <v>10</v>
      </c>
      <c r="C27" s="107" t="s">
        <v>29</v>
      </c>
      <c r="D27" s="100">
        <v>650</v>
      </c>
      <c r="E27" s="100">
        <v>900</v>
      </c>
      <c r="F27" s="100">
        <v>1400</v>
      </c>
      <c r="G27" s="100">
        <v>2200</v>
      </c>
      <c r="H27" s="109">
        <v>45764</v>
      </c>
      <c r="I27" s="147"/>
    </row>
    <row r="28" spans="1:9" ht="15" customHeight="1">
      <c r="A28" s="114" t="s">
        <v>34</v>
      </c>
      <c r="B28" s="110" t="s">
        <v>10</v>
      </c>
      <c r="C28" s="111" t="s">
        <v>11</v>
      </c>
      <c r="D28" s="112">
        <v>925</v>
      </c>
      <c r="E28" s="112">
        <v>1100</v>
      </c>
      <c r="F28" s="112">
        <v>1675</v>
      </c>
      <c r="G28" s="112">
        <v>2100</v>
      </c>
      <c r="H28" s="113">
        <v>45770</v>
      </c>
      <c r="I28" s="147"/>
    </row>
    <row r="29" spans="1:9" ht="15" customHeight="1">
      <c r="A29" s="114" t="s">
        <v>34</v>
      </c>
      <c r="B29" s="110" t="s">
        <v>10</v>
      </c>
      <c r="C29" s="111" t="s">
        <v>27</v>
      </c>
      <c r="D29" s="112">
        <v>750</v>
      </c>
      <c r="E29" s="112">
        <v>900</v>
      </c>
      <c r="F29" s="112">
        <v>1500</v>
      </c>
      <c r="G29" s="112">
        <v>1900</v>
      </c>
      <c r="H29" s="113">
        <v>45764</v>
      </c>
      <c r="I29" s="147"/>
    </row>
    <row r="30" spans="1:9" ht="15" customHeight="1">
      <c r="A30" s="114" t="s">
        <v>34</v>
      </c>
      <c r="B30" s="114" t="s">
        <v>10</v>
      </c>
      <c r="C30" s="115" t="s">
        <v>29</v>
      </c>
      <c r="D30" s="112">
        <v>650</v>
      </c>
      <c r="E30" s="112">
        <v>900</v>
      </c>
      <c r="F30" s="112">
        <v>1400</v>
      </c>
      <c r="G30" s="112">
        <v>1900</v>
      </c>
      <c r="H30" s="116">
        <v>45766</v>
      </c>
      <c r="I30" s="147"/>
    </row>
    <row r="31" spans="1:9" ht="15" customHeight="1">
      <c r="A31" s="114" t="s">
        <v>34</v>
      </c>
      <c r="B31" s="114" t="s">
        <v>14</v>
      </c>
      <c r="C31" s="117" t="s">
        <v>15</v>
      </c>
      <c r="D31" s="112">
        <v>800</v>
      </c>
      <c r="E31" s="112">
        <v>900</v>
      </c>
      <c r="F31" s="112">
        <v>1550</v>
      </c>
      <c r="G31" s="112">
        <v>1900</v>
      </c>
      <c r="H31" s="116">
        <v>45766</v>
      </c>
      <c r="I31" s="147"/>
    </row>
    <row r="32" spans="1:9" ht="15" customHeight="1">
      <c r="A32" s="200" t="s">
        <v>35</v>
      </c>
      <c r="B32" s="118" t="s">
        <v>10</v>
      </c>
      <c r="C32" s="119" t="s">
        <v>36</v>
      </c>
      <c r="D32" s="120">
        <v>600</v>
      </c>
      <c r="E32" s="120">
        <v>750</v>
      </c>
      <c r="F32" s="120">
        <v>1350</v>
      </c>
      <c r="G32" s="120">
        <v>1750</v>
      </c>
      <c r="H32" s="121">
        <v>45761</v>
      </c>
      <c r="I32" s="147"/>
    </row>
    <row r="33" spans="1:9" ht="15" customHeight="1">
      <c r="A33" s="200" t="s">
        <v>35</v>
      </c>
      <c r="B33" s="122" t="s">
        <v>10</v>
      </c>
      <c r="C33" s="123" t="s">
        <v>29</v>
      </c>
      <c r="D33" s="120">
        <v>750</v>
      </c>
      <c r="E33" s="120">
        <v>1050</v>
      </c>
      <c r="F33" s="120">
        <v>1500</v>
      </c>
      <c r="G33" s="120">
        <v>2050</v>
      </c>
      <c r="H33" s="121">
        <v>45766</v>
      </c>
      <c r="I33" s="147" t="s">
        <v>37</v>
      </c>
    </row>
    <row r="34" spans="1:9" ht="15" customHeight="1">
      <c r="A34" s="200" t="s">
        <v>35</v>
      </c>
      <c r="B34" s="118" t="s">
        <v>14</v>
      </c>
      <c r="C34" s="124" t="s">
        <v>31</v>
      </c>
      <c r="D34" s="120">
        <v>800</v>
      </c>
      <c r="E34" s="120">
        <v>975</v>
      </c>
      <c r="F34" s="120">
        <v>1550</v>
      </c>
      <c r="G34" s="120">
        <v>1975</v>
      </c>
      <c r="H34" s="125">
        <v>45763</v>
      </c>
      <c r="I34" s="147"/>
    </row>
    <row r="35" spans="1:9" ht="15" customHeight="1">
      <c r="A35" s="200" t="s">
        <v>35</v>
      </c>
      <c r="B35" s="118" t="s">
        <v>10</v>
      </c>
      <c r="C35" s="124" t="s">
        <v>31</v>
      </c>
      <c r="D35" s="120">
        <v>800</v>
      </c>
      <c r="E35" s="120">
        <v>975</v>
      </c>
      <c r="F35" s="120">
        <v>1550</v>
      </c>
      <c r="G35" s="120">
        <v>1975</v>
      </c>
      <c r="H35" s="125">
        <v>45775</v>
      </c>
      <c r="I35" s="147"/>
    </row>
    <row r="36" spans="1:9" ht="15" customHeight="1">
      <c r="A36" s="200" t="s">
        <v>35</v>
      </c>
      <c r="B36" s="118" t="s">
        <v>10</v>
      </c>
      <c r="C36" s="124" t="s">
        <v>32</v>
      </c>
      <c r="D36" s="120">
        <v>700</v>
      </c>
      <c r="E36" s="120">
        <v>900</v>
      </c>
      <c r="F36" s="120">
        <v>1450</v>
      </c>
      <c r="G36" s="120">
        <v>1900</v>
      </c>
      <c r="H36" s="121">
        <v>45396</v>
      </c>
      <c r="I36" s="147"/>
    </row>
    <row r="37" spans="1:9" ht="15" customHeight="1">
      <c r="A37" s="200" t="s">
        <v>35</v>
      </c>
      <c r="B37" s="118" t="s">
        <v>38</v>
      </c>
      <c r="C37" s="124" t="s">
        <v>32</v>
      </c>
      <c r="D37" s="120">
        <v>700</v>
      </c>
      <c r="E37" s="120">
        <v>900</v>
      </c>
      <c r="F37" s="120">
        <v>1450</v>
      </c>
      <c r="G37" s="120">
        <v>1900</v>
      </c>
      <c r="H37" s="121">
        <v>45396</v>
      </c>
      <c r="I37" s="147"/>
    </row>
    <row r="38" spans="1:9" ht="15" customHeight="1">
      <c r="A38" s="200" t="s">
        <v>35</v>
      </c>
      <c r="B38" s="118" t="s">
        <v>14</v>
      </c>
      <c r="C38" s="119" t="s">
        <v>39</v>
      </c>
      <c r="D38" s="120">
        <v>830</v>
      </c>
      <c r="E38" s="120">
        <v>1080</v>
      </c>
      <c r="F38" s="120">
        <v>1580</v>
      </c>
      <c r="G38" s="120">
        <v>2080</v>
      </c>
      <c r="H38" s="126">
        <v>45760</v>
      </c>
      <c r="I38" s="147"/>
    </row>
    <row r="39" spans="1:9" ht="15" customHeight="1">
      <c r="A39" s="200" t="s">
        <v>35</v>
      </c>
      <c r="B39" s="118" t="s">
        <v>7</v>
      </c>
      <c r="C39" s="119" t="s">
        <v>25</v>
      </c>
      <c r="D39" s="120">
        <v>750</v>
      </c>
      <c r="E39" s="120">
        <v>1000</v>
      </c>
      <c r="F39" s="120">
        <v>1500</v>
      </c>
      <c r="G39" s="120">
        <v>2000</v>
      </c>
      <c r="H39" s="126">
        <v>45762</v>
      </c>
      <c r="I39" s="147" t="s">
        <v>40</v>
      </c>
    </row>
    <row r="40" spans="1:9" ht="15" customHeight="1">
      <c r="A40" s="201" t="s">
        <v>41</v>
      </c>
      <c r="B40" s="127" t="s">
        <v>10</v>
      </c>
      <c r="C40" s="128" t="s">
        <v>29</v>
      </c>
      <c r="D40" s="129">
        <v>650</v>
      </c>
      <c r="E40" s="129">
        <v>900</v>
      </c>
      <c r="F40" s="129">
        <v>1400</v>
      </c>
      <c r="G40" s="129">
        <v>1950</v>
      </c>
      <c r="H40" s="130">
        <v>45769</v>
      </c>
      <c r="I40" s="147"/>
    </row>
    <row r="41" spans="1:9" ht="15" customHeight="1">
      <c r="A41" s="201" t="s">
        <v>41</v>
      </c>
      <c r="B41" s="127" t="s">
        <v>7</v>
      </c>
      <c r="C41" s="128" t="s">
        <v>8</v>
      </c>
      <c r="D41" s="129">
        <v>850</v>
      </c>
      <c r="E41" s="129">
        <v>1100</v>
      </c>
      <c r="F41" s="129">
        <v>1600</v>
      </c>
      <c r="G41" s="129">
        <v>2150</v>
      </c>
      <c r="H41" s="130">
        <v>45764</v>
      </c>
      <c r="I41" s="147" t="s">
        <v>26</v>
      </c>
    </row>
    <row r="42" spans="1:9" ht="15" customHeight="1">
      <c r="A42" s="201" t="s">
        <v>41</v>
      </c>
      <c r="B42" s="131" t="s">
        <v>10</v>
      </c>
      <c r="C42" s="132" t="s">
        <v>27</v>
      </c>
      <c r="D42" s="129">
        <v>750</v>
      </c>
      <c r="E42" s="129">
        <v>900</v>
      </c>
      <c r="F42" s="129">
        <v>1500</v>
      </c>
      <c r="G42" s="129">
        <v>1950</v>
      </c>
      <c r="H42" s="130">
        <v>45768</v>
      </c>
      <c r="I42" s="147"/>
    </row>
    <row r="43" spans="1:9" ht="15" customHeight="1">
      <c r="A43" s="201" t="s">
        <v>41</v>
      </c>
      <c r="B43" s="133" t="s">
        <v>10</v>
      </c>
      <c r="C43" s="128" t="s">
        <v>11</v>
      </c>
      <c r="D43" s="129">
        <v>925</v>
      </c>
      <c r="E43" s="129">
        <v>1100</v>
      </c>
      <c r="F43" s="129">
        <v>1675</v>
      </c>
      <c r="G43" s="129">
        <v>2150</v>
      </c>
      <c r="H43" s="130">
        <v>45773</v>
      </c>
      <c r="I43" s="147"/>
    </row>
    <row r="44" spans="1:9" ht="15" customHeight="1">
      <c r="A44" s="201" t="s">
        <v>41</v>
      </c>
      <c r="B44" s="133" t="s">
        <v>14</v>
      </c>
      <c r="C44" s="134" t="s">
        <v>15</v>
      </c>
      <c r="D44" s="129">
        <v>850</v>
      </c>
      <c r="E44" s="129">
        <v>1000</v>
      </c>
      <c r="F44" s="129">
        <v>1600</v>
      </c>
      <c r="G44" s="129">
        <v>2050</v>
      </c>
      <c r="H44" s="130">
        <v>45764</v>
      </c>
      <c r="I44" s="147" t="s">
        <v>42</v>
      </c>
    </row>
    <row r="45" spans="1:9" ht="15" customHeight="1">
      <c r="A45" s="201" t="s">
        <v>41</v>
      </c>
      <c r="B45" s="133" t="s">
        <v>10</v>
      </c>
      <c r="C45" s="134" t="s">
        <v>31</v>
      </c>
      <c r="D45" s="129">
        <v>800</v>
      </c>
      <c r="E45" s="129">
        <v>975</v>
      </c>
      <c r="F45" s="129">
        <v>1550</v>
      </c>
      <c r="G45" s="129">
        <v>2025</v>
      </c>
      <c r="H45" s="130">
        <v>45777</v>
      </c>
      <c r="I45" s="147"/>
    </row>
    <row r="46" spans="1:9" ht="15" customHeight="1">
      <c r="A46" s="202" t="s">
        <v>43</v>
      </c>
      <c r="B46" s="98" t="s">
        <v>10</v>
      </c>
      <c r="C46" s="135" t="s">
        <v>11</v>
      </c>
      <c r="D46" s="100">
        <v>925</v>
      </c>
      <c r="E46" s="100">
        <v>1100</v>
      </c>
      <c r="F46" s="100">
        <v>1775</v>
      </c>
      <c r="G46" s="100">
        <v>2150</v>
      </c>
      <c r="H46" s="136">
        <v>45771</v>
      </c>
      <c r="I46" s="147"/>
    </row>
    <row r="47" spans="1:9" ht="15" customHeight="1">
      <c r="A47" s="202" t="s">
        <v>43</v>
      </c>
      <c r="B47" s="98" t="s">
        <v>7</v>
      </c>
      <c r="C47" s="135" t="s">
        <v>8</v>
      </c>
      <c r="D47" s="100">
        <v>950</v>
      </c>
      <c r="E47" s="100">
        <v>1200</v>
      </c>
      <c r="F47" s="100">
        <v>1800</v>
      </c>
      <c r="G47" s="100">
        <v>2250</v>
      </c>
      <c r="H47" s="136">
        <v>45765</v>
      </c>
      <c r="I47" s="147" t="s">
        <v>24</v>
      </c>
    </row>
    <row r="48" spans="1:9" ht="15" customHeight="1">
      <c r="A48" s="202" t="s">
        <v>43</v>
      </c>
      <c r="B48" s="106" t="s">
        <v>14</v>
      </c>
      <c r="C48" s="137" t="s">
        <v>15</v>
      </c>
      <c r="D48" s="100">
        <v>875</v>
      </c>
      <c r="E48" s="100">
        <v>1050</v>
      </c>
      <c r="F48" s="100">
        <v>1725</v>
      </c>
      <c r="G48" s="100">
        <v>2100</v>
      </c>
      <c r="H48" s="136">
        <v>45766</v>
      </c>
      <c r="I48" s="147" t="s">
        <v>44</v>
      </c>
    </row>
    <row r="49" spans="1:9" ht="15" customHeight="1">
      <c r="A49" s="192" t="s">
        <v>45</v>
      </c>
      <c r="B49" s="173" t="s">
        <v>46</v>
      </c>
      <c r="C49" s="174"/>
      <c r="D49" s="174"/>
      <c r="E49" s="174"/>
      <c r="F49" s="174"/>
      <c r="G49" s="174"/>
      <c r="H49" s="175"/>
      <c r="I49" s="147"/>
    </row>
    <row r="50" spans="1:9" ht="143" customHeight="1">
      <c r="A50" s="193"/>
      <c r="B50" s="176"/>
      <c r="C50" s="177"/>
      <c r="D50" s="177"/>
      <c r="E50" s="177"/>
      <c r="F50" s="177"/>
      <c r="G50" s="177"/>
      <c r="H50" s="178"/>
      <c r="I50" s="147"/>
    </row>
    <row r="51" spans="1:9" ht="79" customHeight="1">
      <c r="A51" s="138" t="s">
        <v>47</v>
      </c>
      <c r="B51" s="194" t="s">
        <v>48</v>
      </c>
      <c r="C51" s="194"/>
      <c r="D51" s="194"/>
      <c r="E51" s="194"/>
      <c r="F51" s="194"/>
      <c r="G51" s="194"/>
      <c r="H51" s="194"/>
      <c r="I51" s="147"/>
    </row>
    <row r="54" spans="1:9" ht="33">
      <c r="A54" s="51" t="s">
        <v>49</v>
      </c>
      <c r="B54" s="52"/>
      <c r="C54" s="52"/>
      <c r="D54" s="52"/>
      <c r="E54" s="52"/>
      <c r="F54" s="52"/>
      <c r="G54" s="52"/>
      <c r="H54" s="53"/>
    </row>
    <row r="55" spans="1:9" ht="60">
      <c r="A55" s="54" t="s">
        <v>1</v>
      </c>
      <c r="B55" s="54" t="s">
        <v>2</v>
      </c>
      <c r="C55" s="139" t="s">
        <v>3</v>
      </c>
      <c r="D55" s="54" t="s">
        <v>50</v>
      </c>
      <c r="E55" s="54" t="s">
        <v>51</v>
      </c>
      <c r="F55" s="54" t="s">
        <v>52</v>
      </c>
      <c r="G55" s="54" t="s">
        <v>53</v>
      </c>
      <c r="H55" s="54" t="s">
        <v>4</v>
      </c>
      <c r="I55" s="148" t="s">
        <v>5</v>
      </c>
    </row>
    <row r="56" spans="1:9">
      <c r="A56" s="203" t="s">
        <v>35</v>
      </c>
      <c r="B56" s="141" t="s">
        <v>54</v>
      </c>
      <c r="C56" s="141" t="s">
        <v>55</v>
      </c>
      <c r="D56" s="141" t="s">
        <v>56</v>
      </c>
      <c r="E56" s="141" t="s">
        <v>56</v>
      </c>
      <c r="F56" s="141">
        <v>3755</v>
      </c>
      <c r="G56" s="141">
        <v>5255</v>
      </c>
      <c r="H56" s="142">
        <v>45763</v>
      </c>
      <c r="I56" s="149"/>
    </row>
    <row r="57" spans="1:9">
      <c r="A57" s="203" t="s">
        <v>35</v>
      </c>
      <c r="B57" s="141" t="s">
        <v>54</v>
      </c>
      <c r="C57" s="141" t="s">
        <v>57</v>
      </c>
      <c r="D57" s="141">
        <v>3650</v>
      </c>
      <c r="E57" s="141">
        <v>5050</v>
      </c>
      <c r="F57" s="141">
        <v>3850</v>
      </c>
      <c r="G57" s="141">
        <v>5350</v>
      </c>
      <c r="H57" s="142">
        <v>45762</v>
      </c>
      <c r="I57" s="150"/>
    </row>
    <row r="58" spans="1:9">
      <c r="A58" s="203" t="s">
        <v>35</v>
      </c>
      <c r="B58" s="141" t="s">
        <v>58</v>
      </c>
      <c r="C58" s="141" t="s">
        <v>15</v>
      </c>
      <c r="D58" s="141" t="s">
        <v>56</v>
      </c>
      <c r="E58" s="141" t="s">
        <v>56</v>
      </c>
      <c r="F58" s="141">
        <v>3450</v>
      </c>
      <c r="G58" s="141">
        <v>5200</v>
      </c>
      <c r="H58" s="142">
        <v>45773</v>
      </c>
      <c r="I58" s="150" t="s">
        <v>59</v>
      </c>
    </row>
    <row r="59" spans="1:9">
      <c r="A59" s="204" t="s">
        <v>34</v>
      </c>
      <c r="B59" s="143" t="s">
        <v>58</v>
      </c>
      <c r="C59" s="143" t="s">
        <v>60</v>
      </c>
      <c r="D59" s="143">
        <v>3460</v>
      </c>
      <c r="E59" s="143">
        <v>4060</v>
      </c>
      <c r="F59" s="143">
        <v>3960</v>
      </c>
      <c r="G59" s="143">
        <v>5410</v>
      </c>
      <c r="H59" s="144">
        <v>45771</v>
      </c>
      <c r="I59" s="150" t="s">
        <v>61</v>
      </c>
    </row>
    <row r="60" spans="1:9">
      <c r="A60" s="204" t="s">
        <v>34</v>
      </c>
      <c r="B60" s="143" t="s">
        <v>58</v>
      </c>
      <c r="C60" s="143" t="s">
        <v>15</v>
      </c>
      <c r="D60" s="143" t="s">
        <v>56</v>
      </c>
      <c r="E60" s="143" t="s">
        <v>56</v>
      </c>
      <c r="F60" s="143">
        <v>3450</v>
      </c>
      <c r="G60" s="143">
        <v>5200</v>
      </c>
      <c r="H60" s="144">
        <v>45773</v>
      </c>
      <c r="I60" s="150"/>
    </row>
    <row r="61" spans="1:9">
      <c r="A61" s="145" t="s">
        <v>22</v>
      </c>
      <c r="B61" s="145" t="s">
        <v>54</v>
      </c>
      <c r="C61" s="145" t="s">
        <v>55</v>
      </c>
      <c r="D61" s="145" t="s">
        <v>56</v>
      </c>
      <c r="E61" s="145" t="s">
        <v>56</v>
      </c>
      <c r="F61" s="145">
        <v>3755</v>
      </c>
      <c r="G61" s="145">
        <v>5255</v>
      </c>
      <c r="H61" s="146">
        <v>45766</v>
      </c>
      <c r="I61" s="149"/>
    </row>
    <row r="62" spans="1:9">
      <c r="A62" s="145" t="s">
        <v>22</v>
      </c>
      <c r="B62" s="145" t="s">
        <v>54</v>
      </c>
      <c r="C62" s="145" t="s">
        <v>57</v>
      </c>
      <c r="D62" s="145">
        <v>3650</v>
      </c>
      <c r="E62" s="145">
        <v>5050</v>
      </c>
      <c r="F62" s="145">
        <v>3850</v>
      </c>
      <c r="G62" s="145">
        <v>5350</v>
      </c>
      <c r="H62" s="146">
        <v>45765</v>
      </c>
      <c r="I62" s="150"/>
    </row>
    <row r="63" spans="1:9">
      <c r="A63" s="145" t="s">
        <v>22</v>
      </c>
      <c r="B63" s="145" t="s">
        <v>62</v>
      </c>
      <c r="C63" s="145" t="s">
        <v>60</v>
      </c>
      <c r="D63" s="145">
        <v>3460</v>
      </c>
      <c r="E63" s="145">
        <v>4060</v>
      </c>
      <c r="F63" s="145">
        <v>3960</v>
      </c>
      <c r="G63" s="145">
        <v>5410</v>
      </c>
      <c r="H63" s="146">
        <v>45781</v>
      </c>
      <c r="I63" s="150"/>
    </row>
    <row r="64" spans="1:9">
      <c r="A64" s="145" t="s">
        <v>22</v>
      </c>
      <c r="B64" s="145" t="s">
        <v>58</v>
      </c>
      <c r="C64" s="145" t="s">
        <v>15</v>
      </c>
      <c r="D64" s="145" t="s">
        <v>56</v>
      </c>
      <c r="E64" s="145" t="s">
        <v>56</v>
      </c>
      <c r="F64" s="145">
        <v>3850</v>
      </c>
      <c r="G64" s="145">
        <v>5300</v>
      </c>
      <c r="H64" s="146">
        <v>45769</v>
      </c>
      <c r="I64" s="150">
        <v>5.0999999999999996</v>
      </c>
    </row>
    <row r="65" spans="1:9">
      <c r="A65" s="190" t="s">
        <v>30</v>
      </c>
      <c r="B65" s="151" t="s">
        <v>63</v>
      </c>
      <c r="C65" s="151" t="s">
        <v>64</v>
      </c>
      <c r="D65" s="151" t="s">
        <v>56</v>
      </c>
      <c r="E65" s="151" t="s">
        <v>56</v>
      </c>
      <c r="F65" s="151">
        <v>3950</v>
      </c>
      <c r="G65" s="151">
        <v>5400</v>
      </c>
      <c r="H65" s="152">
        <v>45761</v>
      </c>
      <c r="I65" s="166"/>
    </row>
    <row r="66" spans="1:9">
      <c r="A66" s="190" t="s">
        <v>30</v>
      </c>
      <c r="B66" s="151" t="s">
        <v>58</v>
      </c>
      <c r="C66" s="151" t="s">
        <v>15</v>
      </c>
      <c r="D66" s="151" t="s">
        <v>56</v>
      </c>
      <c r="E66" s="151" t="s">
        <v>56</v>
      </c>
      <c r="F66" s="151">
        <v>3850</v>
      </c>
      <c r="G66" s="151">
        <v>5450</v>
      </c>
      <c r="H66" s="152">
        <v>45767</v>
      </c>
      <c r="I66" s="150"/>
    </row>
    <row r="67" spans="1:9">
      <c r="A67" s="141" t="s">
        <v>9</v>
      </c>
      <c r="B67" s="141" t="s">
        <v>54</v>
      </c>
      <c r="C67" s="141" t="s">
        <v>55</v>
      </c>
      <c r="D67" s="141" t="s">
        <v>56</v>
      </c>
      <c r="E67" s="141" t="s">
        <v>56</v>
      </c>
      <c r="F67" s="141">
        <v>3755</v>
      </c>
      <c r="G67" s="141">
        <v>5255</v>
      </c>
      <c r="H67" s="142">
        <v>45769</v>
      </c>
      <c r="I67" s="149"/>
    </row>
    <row r="68" spans="1:9">
      <c r="A68" s="141" t="s">
        <v>9</v>
      </c>
      <c r="B68" s="141" t="s">
        <v>63</v>
      </c>
      <c r="C68" s="141" t="s">
        <v>64</v>
      </c>
      <c r="D68" s="141" t="s">
        <v>56</v>
      </c>
      <c r="E68" s="141" t="s">
        <v>56</v>
      </c>
      <c r="F68" s="141">
        <v>3950</v>
      </c>
      <c r="G68" s="141">
        <v>5400</v>
      </c>
      <c r="H68" s="142">
        <v>45764</v>
      </c>
      <c r="I68" s="150"/>
    </row>
    <row r="69" spans="1:9">
      <c r="A69" s="141" t="s">
        <v>9</v>
      </c>
      <c r="B69" s="141" t="s">
        <v>54</v>
      </c>
      <c r="C69" s="141" t="s">
        <v>57</v>
      </c>
      <c r="D69" s="141">
        <v>3650</v>
      </c>
      <c r="E69" s="141">
        <v>5050</v>
      </c>
      <c r="F69" s="141">
        <v>3850</v>
      </c>
      <c r="G69" s="141">
        <v>5350</v>
      </c>
      <c r="H69" s="142">
        <v>45768</v>
      </c>
      <c r="I69" s="150"/>
    </row>
    <row r="70" spans="1:9">
      <c r="A70" s="141" t="s">
        <v>9</v>
      </c>
      <c r="B70" s="141" t="s">
        <v>58</v>
      </c>
      <c r="C70" s="141" t="s">
        <v>65</v>
      </c>
      <c r="D70" s="141">
        <v>3480</v>
      </c>
      <c r="E70" s="141">
        <v>4900</v>
      </c>
      <c r="F70" s="141">
        <v>3725</v>
      </c>
      <c r="G70" s="141">
        <v>5500</v>
      </c>
      <c r="H70" s="142">
        <v>45761</v>
      </c>
      <c r="I70" s="166"/>
    </row>
    <row r="71" spans="1:9">
      <c r="A71" s="141" t="s">
        <v>9</v>
      </c>
      <c r="B71" s="141" t="s">
        <v>62</v>
      </c>
      <c r="C71" s="141" t="s">
        <v>60</v>
      </c>
      <c r="D71" s="141">
        <v>3460</v>
      </c>
      <c r="E71" s="141">
        <v>4060</v>
      </c>
      <c r="F71" s="141">
        <v>3960</v>
      </c>
      <c r="G71" s="141">
        <v>5410</v>
      </c>
      <c r="H71" s="142">
        <v>45785</v>
      </c>
      <c r="I71" s="150"/>
    </row>
    <row r="72" spans="1:9">
      <c r="A72" s="141" t="s">
        <v>9</v>
      </c>
      <c r="B72" s="141" t="s">
        <v>66</v>
      </c>
      <c r="C72" s="141" t="s">
        <v>67</v>
      </c>
      <c r="D72" s="141"/>
      <c r="E72" s="141"/>
      <c r="F72" s="141">
        <v>4400</v>
      </c>
      <c r="G72" s="141">
        <v>6050</v>
      </c>
      <c r="H72" s="142">
        <v>45763</v>
      </c>
      <c r="I72" s="150" t="s">
        <v>68</v>
      </c>
    </row>
    <row r="73" spans="1:9">
      <c r="A73" s="153" t="s">
        <v>17</v>
      </c>
      <c r="B73" s="143" t="s">
        <v>58</v>
      </c>
      <c r="C73" s="143" t="s">
        <v>15</v>
      </c>
      <c r="D73" s="143" t="s">
        <v>56</v>
      </c>
      <c r="E73" s="143" t="s">
        <v>56</v>
      </c>
      <c r="F73" s="143">
        <v>3550</v>
      </c>
      <c r="G73" s="143">
        <v>5300</v>
      </c>
      <c r="H73" s="144">
        <v>45761</v>
      </c>
      <c r="I73" s="150">
        <v>4.2300000000000004</v>
      </c>
    </row>
    <row r="74" spans="1:9">
      <c r="A74" s="191" t="s">
        <v>41</v>
      </c>
      <c r="B74" s="145" t="s">
        <v>58</v>
      </c>
      <c r="C74" s="145" t="s">
        <v>60</v>
      </c>
      <c r="D74" s="145">
        <v>3660</v>
      </c>
      <c r="E74" s="145">
        <v>4260</v>
      </c>
      <c r="F74" s="145">
        <v>4160</v>
      </c>
      <c r="G74" s="145">
        <v>5610</v>
      </c>
      <c r="H74" s="146">
        <v>45768</v>
      </c>
      <c r="I74" s="150" t="s">
        <v>61</v>
      </c>
    </row>
    <row r="75" spans="1:9">
      <c r="A75" s="191" t="s">
        <v>41</v>
      </c>
      <c r="B75" s="145" t="s">
        <v>66</v>
      </c>
      <c r="C75" s="145" t="s">
        <v>67</v>
      </c>
      <c r="D75" s="145" t="s">
        <v>56</v>
      </c>
      <c r="E75" s="145" t="s">
        <v>56</v>
      </c>
      <c r="F75" s="145">
        <v>4150</v>
      </c>
      <c r="G75" s="145">
        <v>5950</v>
      </c>
      <c r="H75" s="146">
        <v>45764</v>
      </c>
      <c r="I75" s="150" t="s">
        <v>69</v>
      </c>
    </row>
    <row r="76" spans="1:9">
      <c r="A76" s="191" t="s">
        <v>41</v>
      </c>
      <c r="B76" s="145" t="s">
        <v>58</v>
      </c>
      <c r="C76" s="145" t="s">
        <v>15</v>
      </c>
      <c r="D76" s="145" t="s">
        <v>56</v>
      </c>
      <c r="E76" s="145" t="s">
        <v>56</v>
      </c>
      <c r="F76" s="145">
        <v>3950</v>
      </c>
      <c r="G76" s="145">
        <v>5850</v>
      </c>
      <c r="H76" s="146">
        <v>45764</v>
      </c>
      <c r="I76" s="150" t="s">
        <v>59</v>
      </c>
    </row>
    <row r="77" spans="1:9" ht="15" hidden="1" customHeight="1">
      <c r="A77" s="140" t="s">
        <v>43</v>
      </c>
      <c r="B77" s="141" t="s">
        <v>58</v>
      </c>
      <c r="C77" s="141" t="s">
        <v>65</v>
      </c>
      <c r="D77" s="141"/>
      <c r="E77" s="141"/>
      <c r="F77" s="141"/>
      <c r="G77" s="141"/>
      <c r="H77" s="142"/>
      <c r="I77" s="150" t="s">
        <v>70</v>
      </c>
    </row>
    <row r="78" spans="1:9" ht="15" customHeight="1">
      <c r="A78" s="192" t="s">
        <v>45</v>
      </c>
      <c r="B78" s="179" t="s">
        <v>71</v>
      </c>
      <c r="C78" s="180"/>
      <c r="D78" s="180"/>
      <c r="E78" s="180"/>
      <c r="F78" s="180"/>
      <c r="G78" s="180"/>
      <c r="H78" s="181"/>
    </row>
    <row r="79" spans="1:9" ht="117" customHeight="1">
      <c r="A79" s="193"/>
      <c r="B79" s="182"/>
      <c r="C79" s="183"/>
      <c r="D79" s="183"/>
      <c r="E79" s="183"/>
      <c r="F79" s="183"/>
      <c r="G79" s="183"/>
      <c r="H79" s="184"/>
    </row>
    <row r="82" spans="1:8" ht="47" customHeight="1">
      <c r="A82" s="195" t="s">
        <v>72</v>
      </c>
      <c r="B82" s="196"/>
      <c r="C82" s="196"/>
      <c r="D82" s="196"/>
      <c r="E82" s="196"/>
      <c r="F82" s="196"/>
      <c r="G82" s="196"/>
      <c r="H82" s="196"/>
    </row>
    <row r="83" spans="1:8" ht="19">
      <c r="A83" s="154" t="s">
        <v>3</v>
      </c>
      <c r="B83" s="154" t="s">
        <v>73</v>
      </c>
      <c r="C83" s="154" t="s">
        <v>74</v>
      </c>
      <c r="D83" s="154" t="s">
        <v>75</v>
      </c>
      <c r="E83" s="154" t="s">
        <v>4</v>
      </c>
      <c r="F83" s="154" t="s">
        <v>76</v>
      </c>
      <c r="G83" s="154" t="s">
        <v>77</v>
      </c>
      <c r="H83" s="154" t="s">
        <v>78</v>
      </c>
    </row>
    <row r="84" spans="1:8" ht="17" customHeight="1">
      <c r="A84" s="187" t="s">
        <v>79</v>
      </c>
      <c r="B84" s="155" t="s">
        <v>35</v>
      </c>
      <c r="C84" s="156" t="s">
        <v>80</v>
      </c>
      <c r="D84" s="157" t="s">
        <v>81</v>
      </c>
      <c r="E84" s="158" t="s">
        <v>26</v>
      </c>
      <c r="F84" s="157" t="s">
        <v>82</v>
      </c>
      <c r="G84" s="157" t="s">
        <v>83</v>
      </c>
      <c r="H84" s="187" t="s">
        <v>84</v>
      </c>
    </row>
    <row r="85" spans="1:8" ht="17">
      <c r="A85" s="187" t="s">
        <v>79</v>
      </c>
      <c r="B85" s="155" t="s">
        <v>28</v>
      </c>
      <c r="C85" s="156" t="s">
        <v>80</v>
      </c>
      <c r="D85" s="157" t="s">
        <v>81</v>
      </c>
      <c r="E85" s="159" t="s">
        <v>85</v>
      </c>
      <c r="F85" s="157" t="s">
        <v>82</v>
      </c>
      <c r="G85" s="157" t="s">
        <v>83</v>
      </c>
      <c r="H85" s="188"/>
    </row>
    <row r="86" spans="1:8" ht="17">
      <c r="A86" s="187" t="s">
        <v>79</v>
      </c>
      <c r="B86" s="155" t="s">
        <v>30</v>
      </c>
      <c r="C86" s="156" t="s">
        <v>80</v>
      </c>
      <c r="D86" s="157" t="s">
        <v>81</v>
      </c>
      <c r="E86" s="160" t="s">
        <v>42</v>
      </c>
      <c r="F86" s="157" t="s">
        <v>82</v>
      </c>
      <c r="G86" s="157" t="s">
        <v>83</v>
      </c>
      <c r="H86" s="188"/>
    </row>
    <row r="87" spans="1:8" ht="17">
      <c r="A87" s="187" t="s">
        <v>79</v>
      </c>
      <c r="B87" s="155" t="s">
        <v>9</v>
      </c>
      <c r="C87" s="156" t="s">
        <v>80</v>
      </c>
      <c r="D87" s="157" t="s">
        <v>81</v>
      </c>
      <c r="E87" s="161" t="s">
        <v>18</v>
      </c>
      <c r="F87" s="157" t="s">
        <v>82</v>
      </c>
      <c r="G87" s="157" t="s">
        <v>83</v>
      </c>
      <c r="H87" s="189"/>
    </row>
    <row r="88" spans="1:8" ht="17" customHeight="1">
      <c r="A88" s="185" t="s">
        <v>86</v>
      </c>
      <c r="B88" s="155" t="s">
        <v>35</v>
      </c>
      <c r="C88" s="156" t="s">
        <v>87</v>
      </c>
      <c r="D88" s="157" t="s">
        <v>81</v>
      </c>
      <c r="E88" s="162" t="s">
        <v>24</v>
      </c>
      <c r="F88" s="157" t="s">
        <v>88</v>
      </c>
      <c r="G88" s="157" t="s">
        <v>89</v>
      </c>
      <c r="H88" s="188" t="s">
        <v>90</v>
      </c>
    </row>
    <row r="89" spans="1:8" ht="17">
      <c r="A89" s="185" t="s">
        <v>86</v>
      </c>
      <c r="B89" s="155" t="s">
        <v>22</v>
      </c>
      <c r="C89" s="156" t="s">
        <v>87</v>
      </c>
      <c r="D89" s="157" t="s">
        <v>81</v>
      </c>
      <c r="E89" s="162" t="s">
        <v>85</v>
      </c>
      <c r="F89" s="157" t="s">
        <v>88</v>
      </c>
      <c r="G89" s="157" t="s">
        <v>89</v>
      </c>
      <c r="H89" s="188"/>
    </row>
    <row r="90" spans="1:8" ht="17">
      <c r="A90" s="185" t="s">
        <v>86</v>
      </c>
      <c r="B90" s="155" t="s">
        <v>9</v>
      </c>
      <c r="C90" s="156" t="s">
        <v>87</v>
      </c>
      <c r="D90" s="157" t="s">
        <v>81</v>
      </c>
      <c r="E90" s="162" t="s">
        <v>91</v>
      </c>
      <c r="F90" s="157" t="s">
        <v>88</v>
      </c>
      <c r="G90" s="157" t="s">
        <v>89</v>
      </c>
      <c r="H90" s="188"/>
    </row>
    <row r="91" spans="1:8" ht="17" customHeight="1">
      <c r="A91" s="185" t="s">
        <v>92</v>
      </c>
      <c r="B91" s="155" t="s">
        <v>35</v>
      </c>
      <c r="C91" s="156" t="s">
        <v>93</v>
      </c>
      <c r="D91" s="157" t="s">
        <v>81</v>
      </c>
      <c r="E91" s="162" t="s">
        <v>24</v>
      </c>
      <c r="F91" s="157" t="s">
        <v>88</v>
      </c>
      <c r="G91" s="157" t="s">
        <v>94</v>
      </c>
      <c r="H91" s="188" t="s">
        <v>90</v>
      </c>
    </row>
    <row r="92" spans="1:8" ht="36" customHeight="1">
      <c r="A92" s="185" t="s">
        <v>92</v>
      </c>
      <c r="B92" s="155" t="s">
        <v>22</v>
      </c>
      <c r="C92" s="156" t="s">
        <v>93</v>
      </c>
      <c r="D92" s="157" t="s">
        <v>81</v>
      </c>
      <c r="E92" s="162" t="s">
        <v>85</v>
      </c>
      <c r="F92" s="157" t="s">
        <v>88</v>
      </c>
      <c r="G92" s="157" t="s">
        <v>94</v>
      </c>
      <c r="H92" s="188"/>
    </row>
    <row r="93" spans="1:8" ht="36" customHeight="1">
      <c r="A93" s="185" t="s">
        <v>92</v>
      </c>
      <c r="B93" s="155" t="s">
        <v>9</v>
      </c>
      <c r="C93" s="156" t="s">
        <v>93</v>
      </c>
      <c r="D93" s="157" t="s">
        <v>81</v>
      </c>
      <c r="E93" s="162" t="s">
        <v>91</v>
      </c>
      <c r="F93" s="157" t="s">
        <v>88</v>
      </c>
      <c r="G93" s="157" t="s">
        <v>94</v>
      </c>
      <c r="H93" s="188"/>
    </row>
    <row r="94" spans="1:8" ht="17" customHeight="1">
      <c r="A94" s="186" t="s">
        <v>95</v>
      </c>
      <c r="B94" s="155" t="s">
        <v>96</v>
      </c>
      <c r="C94" s="156" t="s">
        <v>97</v>
      </c>
      <c r="D94" s="157" t="s">
        <v>81</v>
      </c>
      <c r="E94" s="157" t="s">
        <v>98</v>
      </c>
      <c r="F94" s="157" t="s">
        <v>99</v>
      </c>
      <c r="G94" s="157" t="s">
        <v>100</v>
      </c>
      <c r="H94" s="185" t="s">
        <v>90</v>
      </c>
    </row>
    <row r="95" spans="1:8" ht="17">
      <c r="A95" s="186" t="s">
        <v>95</v>
      </c>
      <c r="B95" s="155" t="s">
        <v>101</v>
      </c>
      <c r="C95" s="156" t="s">
        <v>102</v>
      </c>
      <c r="D95" s="157" t="s">
        <v>81</v>
      </c>
      <c r="E95" s="163" t="s">
        <v>103</v>
      </c>
      <c r="F95" s="157" t="s">
        <v>104</v>
      </c>
      <c r="G95" s="157" t="s">
        <v>100</v>
      </c>
      <c r="H95" s="185"/>
    </row>
    <row r="96" spans="1:8" ht="17">
      <c r="A96" s="186" t="s">
        <v>95</v>
      </c>
      <c r="B96" s="155" t="s">
        <v>105</v>
      </c>
      <c r="C96" s="156" t="s">
        <v>106</v>
      </c>
      <c r="D96" s="157" t="s">
        <v>81</v>
      </c>
      <c r="E96" s="163" t="s">
        <v>103</v>
      </c>
      <c r="F96" s="157" t="s">
        <v>99</v>
      </c>
      <c r="G96" s="157" t="s">
        <v>100</v>
      </c>
      <c r="H96" s="185"/>
    </row>
    <row r="97" spans="1:8" ht="17">
      <c r="A97" s="186" t="s">
        <v>95</v>
      </c>
      <c r="B97" s="155" t="s">
        <v>107</v>
      </c>
      <c r="C97" s="156" t="s">
        <v>108</v>
      </c>
      <c r="D97" s="157" t="s">
        <v>81</v>
      </c>
      <c r="E97" s="163" t="s">
        <v>103</v>
      </c>
      <c r="F97" s="157" t="s">
        <v>99</v>
      </c>
      <c r="G97" s="157" t="s">
        <v>100</v>
      </c>
      <c r="H97" s="185"/>
    </row>
    <row r="98" spans="1:8" ht="17">
      <c r="A98" s="186" t="s">
        <v>95</v>
      </c>
      <c r="B98" s="155" t="s">
        <v>109</v>
      </c>
      <c r="C98" s="156" t="s">
        <v>102</v>
      </c>
      <c r="D98" s="157" t="s">
        <v>81</v>
      </c>
      <c r="E98" s="163" t="s">
        <v>110</v>
      </c>
      <c r="F98" s="157" t="s">
        <v>99</v>
      </c>
      <c r="G98" s="157" t="s">
        <v>100</v>
      </c>
      <c r="H98" s="185"/>
    </row>
    <row r="99" spans="1:8" ht="17">
      <c r="A99" s="186" t="s">
        <v>95</v>
      </c>
      <c r="B99" s="155" t="s">
        <v>111</v>
      </c>
      <c r="C99" s="156" t="s">
        <v>112</v>
      </c>
      <c r="D99" s="157" t="s">
        <v>81</v>
      </c>
      <c r="E99" s="157" t="s">
        <v>113</v>
      </c>
      <c r="F99" s="157" t="s">
        <v>99</v>
      </c>
      <c r="G99" s="157" t="s">
        <v>100</v>
      </c>
      <c r="H99" s="185"/>
    </row>
    <row r="100" spans="1:8" ht="17">
      <c r="A100" s="186" t="s">
        <v>95</v>
      </c>
      <c r="B100" s="155" t="s">
        <v>114</v>
      </c>
      <c r="C100" s="156" t="s">
        <v>112</v>
      </c>
      <c r="D100" s="157" t="s">
        <v>81</v>
      </c>
      <c r="E100" s="163" t="s">
        <v>115</v>
      </c>
      <c r="F100" s="157" t="s">
        <v>99</v>
      </c>
      <c r="G100" s="157" t="s">
        <v>100</v>
      </c>
      <c r="H100" s="185"/>
    </row>
    <row r="101" spans="1:8" ht="17">
      <c r="A101" s="186" t="s">
        <v>95</v>
      </c>
      <c r="B101" s="155" t="s">
        <v>116</v>
      </c>
      <c r="C101" s="156" t="s">
        <v>117</v>
      </c>
      <c r="D101" s="157" t="s">
        <v>81</v>
      </c>
      <c r="E101" s="163" t="s">
        <v>118</v>
      </c>
      <c r="F101" s="157" t="s">
        <v>99</v>
      </c>
      <c r="G101" s="157" t="s">
        <v>100</v>
      </c>
      <c r="H101" s="185"/>
    </row>
    <row r="102" spans="1:8" ht="17">
      <c r="A102" s="186" t="s">
        <v>95</v>
      </c>
      <c r="B102" s="155" t="s">
        <v>119</v>
      </c>
      <c r="C102" s="156" t="s">
        <v>117</v>
      </c>
      <c r="D102" s="157" t="s">
        <v>81</v>
      </c>
      <c r="E102" s="163" t="s">
        <v>120</v>
      </c>
      <c r="F102" s="157" t="s">
        <v>99</v>
      </c>
      <c r="G102" s="157" t="s">
        <v>100</v>
      </c>
      <c r="H102" s="185"/>
    </row>
    <row r="103" spans="1:8" ht="17">
      <c r="A103" s="164"/>
      <c r="B103" s="164"/>
      <c r="C103" s="164"/>
      <c r="D103" s="164"/>
      <c r="E103" s="164"/>
      <c r="F103" s="164"/>
      <c r="G103" s="165"/>
      <c r="H103" s="165"/>
    </row>
    <row r="104" spans="1:8" ht="17">
      <c r="A104" s="164" t="s">
        <v>121</v>
      </c>
      <c r="B104" s="164"/>
      <c r="C104" s="164"/>
      <c r="D104" s="164"/>
      <c r="E104" s="164"/>
      <c r="F104" s="164"/>
      <c r="G104" s="165"/>
      <c r="H104" s="165"/>
    </row>
    <row r="105" spans="1:8" ht="17">
      <c r="A105" s="164" t="s">
        <v>122</v>
      </c>
      <c r="B105" s="164"/>
      <c r="C105" s="164"/>
      <c r="D105" s="164"/>
      <c r="E105" s="164"/>
      <c r="F105" s="164"/>
      <c r="G105" s="165"/>
      <c r="H105" s="165"/>
    </row>
    <row r="106" spans="1:8" ht="17">
      <c r="A106" s="164" t="s">
        <v>123</v>
      </c>
      <c r="B106" s="164"/>
      <c r="C106" s="164"/>
      <c r="D106" s="164"/>
      <c r="E106" s="164"/>
      <c r="F106" s="164"/>
      <c r="G106" s="165"/>
      <c r="H106" s="165"/>
    </row>
  </sheetData>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76"/>
  <sheetViews>
    <sheetView tabSelected="1" zoomScale="85" zoomScaleNormal="85" workbookViewId="0">
      <selection activeCell="C19" sqref="C19"/>
    </sheetView>
  </sheetViews>
  <sheetFormatPr baseColWidth="10" defaultColWidth="9" defaultRowHeight="15"/>
  <cols>
    <col min="1" max="1" width="39" customWidth="1"/>
    <col min="2" max="2" width="70.1640625" customWidth="1"/>
    <col min="3" max="3" width="20.1640625" customWidth="1"/>
    <col min="4" max="4" width="20.1640625" style="20" customWidth="1"/>
    <col min="5" max="5" width="22.1640625" customWidth="1"/>
    <col min="6" max="6" width="26.1640625" customWidth="1"/>
  </cols>
  <sheetData>
    <row r="1" spans="1:8" ht="36" customHeight="1">
      <c r="A1" s="21" t="s">
        <v>124</v>
      </c>
      <c r="B1" s="21" t="s">
        <v>125</v>
      </c>
      <c r="C1" s="22" t="s">
        <v>126</v>
      </c>
      <c r="D1" s="21" t="s">
        <v>127</v>
      </c>
      <c r="E1" s="22" t="s">
        <v>4</v>
      </c>
      <c r="F1" s="22" t="s">
        <v>78</v>
      </c>
    </row>
    <row r="2" spans="1:8" ht="15" customHeight="1">
      <c r="A2" s="23" t="s">
        <v>128</v>
      </c>
      <c r="B2" s="278" t="s">
        <v>129</v>
      </c>
      <c r="C2" s="223" t="s">
        <v>130</v>
      </c>
      <c r="D2" s="24">
        <v>4850</v>
      </c>
      <c r="E2" s="207" t="s">
        <v>131</v>
      </c>
      <c r="F2" s="244"/>
      <c r="G2" s="205" t="s">
        <v>341</v>
      </c>
      <c r="H2" t="s">
        <v>343</v>
      </c>
    </row>
    <row r="3" spans="1:8" ht="16">
      <c r="A3" s="23" t="s">
        <v>132</v>
      </c>
      <c r="B3" s="245"/>
      <c r="C3" s="223" t="s">
        <v>130</v>
      </c>
      <c r="D3" s="24">
        <v>5050</v>
      </c>
      <c r="E3" s="207" t="str">
        <f>$E$2</f>
        <v>4.16/4.25/4.30</v>
      </c>
      <c r="F3" s="245"/>
      <c r="G3" s="205" t="s">
        <v>341</v>
      </c>
      <c r="H3" t="s">
        <v>343</v>
      </c>
    </row>
    <row r="4" spans="1:8" ht="16">
      <c r="A4" s="23" t="s">
        <v>133</v>
      </c>
      <c r="B4" s="245"/>
      <c r="C4" s="223" t="s">
        <v>130</v>
      </c>
      <c r="D4" s="24">
        <v>4750</v>
      </c>
      <c r="E4" s="207" t="str">
        <f t="shared" ref="E4:E10" si="0">$E$2</f>
        <v>4.16/4.25/4.30</v>
      </c>
      <c r="F4" s="245"/>
      <c r="G4" s="205" t="s">
        <v>341</v>
      </c>
      <c r="H4" t="s">
        <v>343</v>
      </c>
    </row>
    <row r="5" spans="1:8" ht="16">
      <c r="A5" s="23" t="s">
        <v>134</v>
      </c>
      <c r="B5" s="245"/>
      <c r="C5" s="223" t="s">
        <v>130</v>
      </c>
      <c r="D5" s="24">
        <v>5450</v>
      </c>
      <c r="E5" s="207" t="str">
        <f t="shared" si="0"/>
        <v>4.16/4.25/4.30</v>
      </c>
      <c r="F5" s="245"/>
      <c r="G5" s="205" t="s">
        <v>341</v>
      </c>
      <c r="H5" t="s">
        <v>343</v>
      </c>
    </row>
    <row r="6" spans="1:8" ht="16">
      <c r="A6" s="23" t="s">
        <v>135</v>
      </c>
      <c r="B6" s="245"/>
      <c r="C6" s="223" t="s">
        <v>130</v>
      </c>
      <c r="D6" s="24">
        <v>4400</v>
      </c>
      <c r="E6" s="207" t="str">
        <f t="shared" si="0"/>
        <v>4.16/4.25/4.30</v>
      </c>
      <c r="F6" s="245"/>
      <c r="G6" s="205" t="s">
        <v>341</v>
      </c>
      <c r="H6" t="s">
        <v>343</v>
      </c>
    </row>
    <row r="7" spans="1:8" ht="16">
      <c r="A7" s="23" t="s">
        <v>136</v>
      </c>
      <c r="B7" s="245"/>
      <c r="C7" s="223" t="s">
        <v>130</v>
      </c>
      <c r="D7" s="24">
        <v>5700</v>
      </c>
      <c r="E7" s="207" t="str">
        <f t="shared" si="0"/>
        <v>4.16/4.25/4.30</v>
      </c>
      <c r="F7" s="245"/>
      <c r="G7" s="205" t="s">
        <v>341</v>
      </c>
      <c r="H7" t="s">
        <v>343</v>
      </c>
    </row>
    <row r="8" spans="1:8" ht="16">
      <c r="A8" s="23" t="s">
        <v>137</v>
      </c>
      <c r="B8" s="245"/>
      <c r="C8" s="223" t="s">
        <v>130</v>
      </c>
      <c r="D8" s="24">
        <v>5550</v>
      </c>
      <c r="E8" s="207" t="str">
        <f t="shared" si="0"/>
        <v>4.16/4.25/4.30</v>
      </c>
      <c r="F8" s="245"/>
      <c r="G8" s="205" t="s">
        <v>341</v>
      </c>
      <c r="H8" t="s">
        <v>343</v>
      </c>
    </row>
    <row r="9" spans="1:8" ht="16">
      <c r="A9" s="23" t="s">
        <v>138</v>
      </c>
      <c r="B9" s="245"/>
      <c r="C9" s="223" t="s">
        <v>130</v>
      </c>
      <c r="D9" s="24">
        <v>5500</v>
      </c>
      <c r="E9" s="207" t="str">
        <f t="shared" si="0"/>
        <v>4.16/4.25/4.30</v>
      </c>
      <c r="F9" s="245"/>
      <c r="G9" s="205" t="s">
        <v>341</v>
      </c>
      <c r="H9" t="s">
        <v>343</v>
      </c>
    </row>
    <row r="10" spans="1:8" ht="16">
      <c r="A10" s="23" t="s">
        <v>139</v>
      </c>
      <c r="B10" s="245"/>
      <c r="C10" s="223" t="s">
        <v>130</v>
      </c>
      <c r="D10" s="24">
        <v>5600</v>
      </c>
      <c r="E10" s="207" t="str">
        <f t="shared" si="0"/>
        <v>4.16/4.25/4.30</v>
      </c>
      <c r="F10" s="245"/>
      <c r="G10" s="205" t="s">
        <v>341</v>
      </c>
      <c r="H10" t="s">
        <v>343</v>
      </c>
    </row>
    <row r="11" spans="1:8">
      <c r="A11" s="23"/>
      <c r="B11" s="25"/>
      <c r="C11" s="25"/>
      <c r="D11" s="24"/>
      <c r="E11" s="25"/>
      <c r="F11" s="25"/>
    </row>
    <row r="12" spans="1:8">
      <c r="A12" s="23" t="s">
        <v>140</v>
      </c>
      <c r="B12" s="248" t="s">
        <v>141</v>
      </c>
      <c r="C12" s="208" t="s">
        <v>130</v>
      </c>
      <c r="D12" s="24">
        <v>4650</v>
      </c>
      <c r="E12" s="208" t="s">
        <v>142</v>
      </c>
      <c r="F12" s="246"/>
      <c r="G12" s="205" t="s">
        <v>341</v>
      </c>
      <c r="H12" t="s">
        <v>343</v>
      </c>
    </row>
    <row r="13" spans="1:8">
      <c r="A13" s="23" t="s">
        <v>143</v>
      </c>
      <c r="B13" s="246"/>
      <c r="C13" s="208" t="s">
        <v>130</v>
      </c>
      <c r="D13" s="24">
        <v>4800</v>
      </c>
      <c r="E13" s="208" t="s">
        <v>142</v>
      </c>
      <c r="F13" s="246"/>
      <c r="G13" s="205" t="s">
        <v>341</v>
      </c>
      <c r="H13" t="s">
        <v>343</v>
      </c>
    </row>
    <row r="14" spans="1:8">
      <c r="A14" s="23" t="s">
        <v>144</v>
      </c>
      <c r="B14" s="246"/>
      <c r="C14" s="208" t="s">
        <v>130</v>
      </c>
      <c r="D14" s="24">
        <v>4850</v>
      </c>
      <c r="E14" s="208" t="s">
        <v>142</v>
      </c>
      <c r="F14" s="246"/>
      <c r="G14" s="205" t="s">
        <v>341</v>
      </c>
      <c r="H14" t="s">
        <v>343</v>
      </c>
    </row>
    <row r="15" spans="1:8">
      <c r="A15" s="23" t="s">
        <v>145</v>
      </c>
      <c r="B15" s="247"/>
      <c r="C15" s="208" t="s">
        <v>130</v>
      </c>
      <c r="D15" s="24">
        <v>5000</v>
      </c>
      <c r="E15" s="208" t="s">
        <v>142</v>
      </c>
      <c r="F15" s="247"/>
      <c r="G15" s="205" t="s">
        <v>341</v>
      </c>
      <c r="H15" t="s">
        <v>343</v>
      </c>
    </row>
    <row r="16" spans="1:8">
      <c r="A16" s="23"/>
      <c r="B16" s="26"/>
      <c r="C16" s="26"/>
      <c r="D16" s="24"/>
      <c r="E16" s="26"/>
      <c r="F16" s="26"/>
    </row>
    <row r="17" spans="1:8">
      <c r="A17" s="23" t="s">
        <v>146</v>
      </c>
      <c r="B17" s="279" t="s">
        <v>147</v>
      </c>
      <c r="C17" s="209" t="s">
        <v>130</v>
      </c>
      <c r="D17" s="24">
        <v>5280</v>
      </c>
      <c r="E17" s="224">
        <v>45773</v>
      </c>
      <c r="F17" s="26"/>
      <c r="G17" t="s">
        <v>349</v>
      </c>
      <c r="H17" t="s">
        <v>343</v>
      </c>
    </row>
    <row r="18" spans="1:8">
      <c r="A18" s="23" t="s">
        <v>148</v>
      </c>
      <c r="B18" s="246"/>
      <c r="C18" s="209" t="s">
        <v>130</v>
      </c>
      <c r="D18" s="24">
        <v>5230</v>
      </c>
      <c r="E18" s="224">
        <v>45773</v>
      </c>
      <c r="F18" s="26"/>
      <c r="G18" t="s">
        <v>349</v>
      </c>
      <c r="H18" t="s">
        <v>343</v>
      </c>
    </row>
    <row r="19" spans="1:8">
      <c r="A19" s="23" t="s">
        <v>149</v>
      </c>
      <c r="B19" s="247"/>
      <c r="C19" s="209" t="s">
        <v>130</v>
      </c>
      <c r="D19" s="24">
        <v>5150</v>
      </c>
      <c r="E19" s="224">
        <v>45773</v>
      </c>
      <c r="F19" s="26"/>
      <c r="G19" t="s">
        <v>349</v>
      </c>
      <c r="H19" t="s">
        <v>343</v>
      </c>
    </row>
    <row r="20" spans="1:8">
      <c r="A20" s="23"/>
      <c r="B20" s="26"/>
      <c r="C20" s="26"/>
      <c r="D20" s="24"/>
      <c r="E20" s="24"/>
      <c r="F20" s="24"/>
    </row>
    <row r="21" spans="1:8">
      <c r="A21" s="23" t="s">
        <v>150</v>
      </c>
      <c r="B21" s="279" t="s">
        <v>151</v>
      </c>
      <c r="C21" s="209" t="s">
        <v>130</v>
      </c>
      <c r="D21" s="24">
        <v>4250</v>
      </c>
      <c r="E21" s="208" t="s">
        <v>152</v>
      </c>
      <c r="F21" s="248"/>
      <c r="G21" s="205" t="s">
        <v>341</v>
      </c>
      <c r="H21" t="s">
        <v>344</v>
      </c>
    </row>
    <row r="22" spans="1:8">
      <c r="A22" s="23" t="s">
        <v>153</v>
      </c>
      <c r="B22" s="246"/>
      <c r="C22" s="209" t="s">
        <v>130</v>
      </c>
      <c r="D22" s="24">
        <v>4550</v>
      </c>
      <c r="E22" s="208" t="s">
        <v>152</v>
      </c>
      <c r="F22" s="246"/>
      <c r="G22" s="205" t="s">
        <v>341</v>
      </c>
      <c r="H22" t="s">
        <v>344</v>
      </c>
    </row>
    <row r="23" spans="1:8">
      <c r="A23" s="23" t="s">
        <v>154</v>
      </c>
      <c r="B23" s="246"/>
      <c r="C23" s="209" t="s">
        <v>130</v>
      </c>
      <c r="D23" s="24">
        <v>4350</v>
      </c>
      <c r="E23" s="208" t="s">
        <v>152</v>
      </c>
      <c r="F23" s="246"/>
      <c r="G23" s="205" t="s">
        <v>341</v>
      </c>
      <c r="H23" t="s">
        <v>344</v>
      </c>
    </row>
    <row r="24" spans="1:8">
      <c r="A24" s="23" t="s">
        <v>155</v>
      </c>
      <c r="B24" s="246"/>
      <c r="C24" s="209" t="s">
        <v>130</v>
      </c>
      <c r="D24" s="24">
        <v>4350</v>
      </c>
      <c r="E24" s="208" t="s">
        <v>152</v>
      </c>
      <c r="F24" s="246"/>
      <c r="G24" s="205" t="s">
        <v>341</v>
      </c>
      <c r="H24" t="s">
        <v>344</v>
      </c>
    </row>
    <row r="25" spans="1:8">
      <c r="A25" s="23" t="s">
        <v>156</v>
      </c>
      <c r="B25" s="246"/>
      <c r="C25" s="209" t="s">
        <v>130</v>
      </c>
      <c r="D25" s="24">
        <v>4450</v>
      </c>
      <c r="E25" s="208" t="s">
        <v>152</v>
      </c>
      <c r="F25" s="246"/>
      <c r="G25" s="205" t="s">
        <v>341</v>
      </c>
      <c r="H25" t="s">
        <v>344</v>
      </c>
    </row>
    <row r="26" spans="1:8">
      <c r="A26" s="23" t="s">
        <v>128</v>
      </c>
      <c r="B26" s="246"/>
      <c r="C26" s="209" t="s">
        <v>130</v>
      </c>
      <c r="D26" s="24">
        <v>4900</v>
      </c>
      <c r="E26" s="208" t="s">
        <v>152</v>
      </c>
      <c r="F26" s="246"/>
      <c r="G26" s="205" t="s">
        <v>341</v>
      </c>
      <c r="H26" t="s">
        <v>344</v>
      </c>
    </row>
    <row r="27" spans="1:8">
      <c r="A27" s="23" t="s">
        <v>157</v>
      </c>
      <c r="B27" s="246"/>
      <c r="C27" s="209" t="s">
        <v>130</v>
      </c>
      <c r="D27" s="24">
        <v>5050</v>
      </c>
      <c r="E27" s="208" t="s">
        <v>152</v>
      </c>
      <c r="F27" s="246"/>
      <c r="G27" s="205" t="s">
        <v>341</v>
      </c>
      <c r="H27" t="s">
        <v>344</v>
      </c>
    </row>
    <row r="28" spans="1:8">
      <c r="A28" s="23" t="s">
        <v>158</v>
      </c>
      <c r="B28" s="246"/>
      <c r="C28" s="209" t="s">
        <v>130</v>
      </c>
      <c r="D28" s="24">
        <v>4400</v>
      </c>
      <c r="E28" s="208" t="s">
        <v>152</v>
      </c>
      <c r="F28" s="246"/>
      <c r="G28" s="205" t="s">
        <v>341</v>
      </c>
      <c r="H28" t="s">
        <v>344</v>
      </c>
    </row>
    <row r="29" spans="1:8">
      <c r="A29" s="23" t="s">
        <v>159</v>
      </c>
      <c r="B29" s="247"/>
      <c r="C29" s="209" t="s">
        <v>130</v>
      </c>
      <c r="D29" s="24">
        <v>4550</v>
      </c>
      <c r="E29" s="208" t="s">
        <v>152</v>
      </c>
      <c r="F29" s="247"/>
      <c r="G29" s="205" t="s">
        <v>341</v>
      </c>
      <c r="H29" t="s">
        <v>344</v>
      </c>
    </row>
    <row r="30" spans="1:8">
      <c r="A30" s="23"/>
      <c r="B30" s="24"/>
      <c r="C30" s="24"/>
      <c r="D30" s="24"/>
      <c r="E30" s="24"/>
      <c r="F30" s="24"/>
    </row>
    <row r="31" spans="1:8" ht="15" customHeight="1">
      <c r="A31" s="23" t="s">
        <v>160</v>
      </c>
      <c r="B31" s="280" t="s">
        <v>161</v>
      </c>
      <c r="C31" s="25" t="s">
        <v>130</v>
      </c>
      <c r="D31" s="24">
        <v>3600</v>
      </c>
      <c r="E31" s="218" t="s">
        <v>162</v>
      </c>
      <c r="F31" s="249" t="s">
        <v>163</v>
      </c>
      <c r="G31" t="e" cm="1" vm="1">
        <f t="array" aca="1" ref="G31" ca="1">K111:K112</f>
        <v>#VALUE!</v>
      </c>
      <c r="H31" t="str">
        <f t="shared" ref="H31:H37" si="1">M111</f>
        <v>Elektrougli/Selyatino</v>
      </c>
    </row>
    <row r="32" spans="1:8">
      <c r="A32" s="23" t="s">
        <v>164</v>
      </c>
      <c r="B32" s="249"/>
      <c r="C32" s="25" t="s">
        <v>130</v>
      </c>
      <c r="D32" s="24">
        <v>3750</v>
      </c>
      <c r="E32" s="25" t="str">
        <f>$E$31</f>
        <v>4.16/4.19/4.23/4.26</v>
      </c>
      <c r="F32" s="245"/>
      <c r="G32" t="e" cm="1" vm="1">
        <f t="array" aca="1" ref="G32" ca="1">K112:K113</f>
        <v>#VALUE!</v>
      </c>
      <c r="H32" t="str">
        <f t="shared" si="1"/>
        <v>Shushary</v>
      </c>
    </row>
    <row r="33" spans="1:8">
      <c r="A33" s="23" t="s">
        <v>137</v>
      </c>
      <c r="B33" s="249"/>
      <c r="C33" s="25" t="s">
        <v>130</v>
      </c>
      <c r="D33" s="24">
        <v>4600</v>
      </c>
      <c r="E33" s="25" t="str">
        <f t="shared" ref="E33:E37" si="2">$E$31</f>
        <v>4.16/4.19/4.23/4.26</v>
      </c>
      <c r="F33" s="245"/>
      <c r="G33" t="e" cm="1" vm="1">
        <f t="array" aca="1" ref="G33" ca="1">K113:K114</f>
        <v>#VALUE!</v>
      </c>
      <c r="H33" t="str">
        <f t="shared" si="1"/>
        <v>Selyatino</v>
      </c>
    </row>
    <row r="34" spans="1:8">
      <c r="A34" s="23" t="s">
        <v>165</v>
      </c>
      <c r="B34" s="249"/>
      <c r="C34" s="25" t="s">
        <v>130</v>
      </c>
      <c r="D34" s="24">
        <v>4700</v>
      </c>
      <c r="E34" s="25" t="str">
        <f t="shared" si="2"/>
        <v>4.16/4.19/4.23/4.26</v>
      </c>
      <c r="F34" s="245"/>
      <c r="G34" t="e" cm="1" vm="1">
        <f t="array" aca="1" ref="G34" ca="1">K114:K115</f>
        <v>#VALUE!</v>
      </c>
      <c r="H34" t="str">
        <f t="shared" si="1"/>
        <v>Kolyadichi</v>
      </c>
    </row>
    <row r="35" spans="1:8">
      <c r="A35" s="23" t="s">
        <v>166</v>
      </c>
      <c r="B35" s="249"/>
      <c r="C35" s="25" t="s">
        <v>130</v>
      </c>
      <c r="D35" s="24">
        <v>4650</v>
      </c>
      <c r="E35" s="25" t="str">
        <f t="shared" si="2"/>
        <v>4.16/4.19/4.23/4.26</v>
      </c>
      <c r="F35" s="245"/>
      <c r="G35" t="e" cm="1" vm="1">
        <f t="array" aca="1" ref="G35" ca="1">K115:K116</f>
        <v>#VALUE!</v>
      </c>
      <c r="H35" t="str">
        <f t="shared" si="1"/>
        <v>Yekaterinburg</v>
      </c>
    </row>
    <row r="36" spans="1:8">
      <c r="A36" s="23" t="s">
        <v>167</v>
      </c>
      <c r="B36" s="249"/>
      <c r="C36" s="25" t="s">
        <v>130</v>
      </c>
      <c r="D36" s="24">
        <v>4750</v>
      </c>
      <c r="E36" s="25" t="str">
        <f t="shared" si="2"/>
        <v>4.16/4.19/4.23/4.26</v>
      </c>
      <c r="F36" s="245"/>
      <c r="G36" t="e" cm="1" vm="1">
        <f t="array" aca="1" ref="G36" ca="1">K116:K117</f>
        <v>#VALUE!</v>
      </c>
      <c r="H36" t="str">
        <f t="shared" si="1"/>
        <v>Novosibirsk</v>
      </c>
    </row>
    <row r="37" spans="1:8">
      <c r="A37" s="23" t="s">
        <v>168</v>
      </c>
      <c r="B37" s="249"/>
      <c r="C37" s="25" t="s">
        <v>130</v>
      </c>
      <c r="D37" s="24">
        <v>5050</v>
      </c>
      <c r="E37" s="25" t="str">
        <f t="shared" si="2"/>
        <v>4.16/4.19/4.23/4.26</v>
      </c>
      <c r="F37" s="245"/>
      <c r="G37" cm="1">
        <f t="array" ref="G37:G38">L61:L62</f>
        <v>0</v>
      </c>
      <c r="H37" t="str">
        <f t="shared" si="1"/>
        <v>Moscow</v>
      </c>
    </row>
    <row r="38" spans="1:8">
      <c r="A38" s="23"/>
      <c r="B38" s="25"/>
      <c r="C38" s="25"/>
      <c r="D38" s="24"/>
      <c r="E38" s="25"/>
      <c r="F38" s="25"/>
      <c r="G38">
        <v>0</v>
      </c>
    </row>
    <row r="39" spans="1:8" ht="15" customHeight="1">
      <c r="A39" s="23" t="s">
        <v>164</v>
      </c>
      <c r="B39" s="250" t="s">
        <v>169</v>
      </c>
      <c r="C39" s="208" t="s">
        <v>130</v>
      </c>
      <c r="D39" s="24">
        <v>3550</v>
      </c>
      <c r="E39" s="216" t="s">
        <v>170</v>
      </c>
      <c r="F39" s="250" t="s">
        <v>171</v>
      </c>
      <c r="G39" s="205" t="s">
        <v>341</v>
      </c>
      <c r="H39" t="s">
        <v>343</v>
      </c>
    </row>
    <row r="40" spans="1:8" ht="15" customHeight="1">
      <c r="A40" s="23" t="s">
        <v>160</v>
      </c>
      <c r="B40" s="251"/>
      <c r="C40" s="208" t="s">
        <v>130</v>
      </c>
      <c r="D40" s="24">
        <v>4050</v>
      </c>
      <c r="E40" s="217" t="str">
        <f>$E$39</f>
        <v>4.18/4.21/4.25/4.29</v>
      </c>
      <c r="F40" s="251"/>
      <c r="G40" s="205" t="s">
        <v>341</v>
      </c>
      <c r="H40" t="s">
        <v>343</v>
      </c>
    </row>
    <row r="41" spans="1:8" ht="16">
      <c r="A41" s="23" t="s">
        <v>148</v>
      </c>
      <c r="B41" s="251"/>
      <c r="C41" s="208" t="s">
        <v>130</v>
      </c>
      <c r="D41" s="24">
        <v>5750</v>
      </c>
      <c r="E41" s="217" t="str">
        <f t="shared" ref="E41:E50" si="3">$E$39</f>
        <v>4.18/4.21/4.25/4.29</v>
      </c>
      <c r="F41" s="251"/>
      <c r="G41" s="205" t="s">
        <v>341</v>
      </c>
      <c r="H41" t="s">
        <v>343</v>
      </c>
    </row>
    <row r="42" spans="1:8" ht="16">
      <c r="A42" s="23" t="s">
        <v>149</v>
      </c>
      <c r="B42" s="251"/>
      <c r="C42" s="208" t="s">
        <v>130</v>
      </c>
      <c r="D42" s="24">
        <v>5000</v>
      </c>
      <c r="E42" s="217" t="str">
        <f t="shared" si="3"/>
        <v>4.18/4.21/4.25/4.29</v>
      </c>
      <c r="F42" s="251"/>
      <c r="G42" s="205" t="s">
        <v>341</v>
      </c>
      <c r="H42" t="s">
        <v>343</v>
      </c>
    </row>
    <row r="43" spans="1:8" ht="16">
      <c r="A43" s="23" t="s">
        <v>172</v>
      </c>
      <c r="B43" s="251"/>
      <c r="C43" s="208" t="s">
        <v>130</v>
      </c>
      <c r="D43" s="24">
        <v>5050</v>
      </c>
      <c r="E43" s="217" t="str">
        <f t="shared" si="3"/>
        <v>4.18/4.21/4.25/4.29</v>
      </c>
      <c r="F43" s="251"/>
      <c r="G43" s="205" t="s">
        <v>341</v>
      </c>
      <c r="H43" t="s">
        <v>343</v>
      </c>
    </row>
    <row r="44" spans="1:8" ht="16">
      <c r="A44" s="23" t="s">
        <v>157</v>
      </c>
      <c r="B44" s="251"/>
      <c r="C44" s="208" t="s">
        <v>130</v>
      </c>
      <c r="D44" s="24">
        <v>5200</v>
      </c>
      <c r="E44" s="217" t="str">
        <f t="shared" si="3"/>
        <v>4.18/4.21/4.25/4.29</v>
      </c>
      <c r="F44" s="251"/>
      <c r="G44" s="205" t="s">
        <v>341</v>
      </c>
      <c r="H44" t="s">
        <v>343</v>
      </c>
    </row>
    <row r="45" spans="1:8" ht="16">
      <c r="A45" s="23" t="s">
        <v>137</v>
      </c>
      <c r="B45" s="251"/>
      <c r="C45" s="208" t="s">
        <v>130</v>
      </c>
      <c r="D45" s="24">
        <v>5000</v>
      </c>
      <c r="E45" s="217" t="str">
        <f t="shared" si="3"/>
        <v>4.18/4.21/4.25/4.29</v>
      </c>
      <c r="F45" s="251"/>
      <c r="G45" s="205" t="s">
        <v>341</v>
      </c>
      <c r="H45" t="s">
        <v>343</v>
      </c>
    </row>
    <row r="46" spans="1:8" ht="16">
      <c r="A46" s="23" t="s">
        <v>138</v>
      </c>
      <c r="B46" s="251"/>
      <c r="C46" s="208" t="s">
        <v>130</v>
      </c>
      <c r="D46" s="24">
        <v>5000</v>
      </c>
      <c r="E46" s="217" t="str">
        <f t="shared" si="3"/>
        <v>4.18/4.21/4.25/4.29</v>
      </c>
      <c r="F46" s="251"/>
      <c r="G46" s="205" t="s">
        <v>341</v>
      </c>
      <c r="H46" t="s">
        <v>343</v>
      </c>
    </row>
    <row r="47" spans="1:8" ht="16">
      <c r="A47" s="23" t="s">
        <v>173</v>
      </c>
      <c r="B47" s="251"/>
      <c r="C47" s="208" t="s">
        <v>130</v>
      </c>
      <c r="D47" s="24">
        <v>5050</v>
      </c>
      <c r="E47" s="217" t="str">
        <f t="shared" si="3"/>
        <v>4.18/4.21/4.25/4.29</v>
      </c>
      <c r="F47" s="251"/>
      <c r="G47" s="205" t="s">
        <v>341</v>
      </c>
      <c r="H47" t="s">
        <v>343</v>
      </c>
    </row>
    <row r="48" spans="1:8" ht="16">
      <c r="A48" s="23" t="s">
        <v>174</v>
      </c>
      <c r="B48" s="251"/>
      <c r="C48" s="208" t="s">
        <v>130</v>
      </c>
      <c r="D48" s="24">
        <v>5100</v>
      </c>
      <c r="E48" s="217" t="str">
        <f t="shared" si="3"/>
        <v>4.18/4.21/4.25/4.29</v>
      </c>
      <c r="F48" s="251"/>
      <c r="G48" s="205" t="s">
        <v>341</v>
      </c>
      <c r="H48" t="s">
        <v>343</v>
      </c>
    </row>
    <row r="49" spans="1:8" ht="16">
      <c r="A49" s="23" t="s">
        <v>168</v>
      </c>
      <c r="B49" s="251"/>
      <c r="C49" s="208" t="s">
        <v>130</v>
      </c>
      <c r="D49" s="24">
        <v>5450</v>
      </c>
      <c r="E49" s="217" t="str">
        <f t="shared" si="3"/>
        <v>4.18/4.21/4.25/4.29</v>
      </c>
      <c r="F49" s="251"/>
      <c r="G49" s="205" t="s">
        <v>341</v>
      </c>
      <c r="H49" t="s">
        <v>343</v>
      </c>
    </row>
    <row r="50" spans="1:8" ht="16">
      <c r="A50" s="23" t="s">
        <v>175</v>
      </c>
      <c r="B50" s="252"/>
      <c r="C50" s="208" t="s">
        <v>130</v>
      </c>
      <c r="D50" s="24">
        <v>5300</v>
      </c>
      <c r="E50" s="217" t="str">
        <f t="shared" si="3"/>
        <v>4.18/4.21/4.25/4.29</v>
      </c>
      <c r="F50" s="252"/>
    </row>
    <row r="51" spans="1:8">
      <c r="A51" s="23"/>
      <c r="B51" s="27"/>
      <c r="C51" s="24"/>
      <c r="D51" s="24"/>
      <c r="E51" s="27"/>
      <c r="F51" s="27"/>
    </row>
    <row r="52" spans="1:8" ht="15" customHeight="1">
      <c r="A52" s="23" t="s">
        <v>137</v>
      </c>
      <c r="B52" s="249" t="s">
        <v>176</v>
      </c>
      <c r="C52" s="25" t="s">
        <v>130</v>
      </c>
      <c r="D52" s="24">
        <v>4700</v>
      </c>
      <c r="E52" s="218" t="s">
        <v>177</v>
      </c>
      <c r="F52" s="249"/>
      <c r="G52" s="205" t="s">
        <v>341</v>
      </c>
      <c r="H52" t="s">
        <v>347</v>
      </c>
    </row>
    <row r="53" spans="1:8" ht="32">
      <c r="A53" s="23" t="s">
        <v>178</v>
      </c>
      <c r="B53" s="245"/>
      <c r="C53" s="25" t="s">
        <v>130</v>
      </c>
      <c r="D53" s="24">
        <v>4750</v>
      </c>
      <c r="E53" s="218" t="s">
        <v>177</v>
      </c>
      <c r="F53" s="245"/>
      <c r="G53" s="205" t="s">
        <v>341</v>
      </c>
      <c r="H53" t="s">
        <v>347</v>
      </c>
    </row>
    <row r="54" spans="1:8" ht="32">
      <c r="A54" s="23" t="s">
        <v>179</v>
      </c>
      <c r="B54" s="245"/>
      <c r="C54" s="25" t="s">
        <v>130</v>
      </c>
      <c r="D54" s="24">
        <v>4800</v>
      </c>
      <c r="E54" s="218" t="s">
        <v>177</v>
      </c>
      <c r="F54" s="245"/>
      <c r="G54" s="205" t="s">
        <v>341</v>
      </c>
      <c r="H54" t="s">
        <v>347</v>
      </c>
    </row>
    <row r="55" spans="1:8" ht="32">
      <c r="A55" s="23" t="s">
        <v>180</v>
      </c>
      <c r="B55" s="245"/>
      <c r="C55" s="25" t="s">
        <v>130</v>
      </c>
      <c r="D55" s="24">
        <v>4800</v>
      </c>
      <c r="E55" s="218" t="s">
        <v>177</v>
      </c>
      <c r="F55" s="245"/>
      <c r="G55" s="205" t="s">
        <v>341</v>
      </c>
      <c r="H55" t="s">
        <v>347</v>
      </c>
    </row>
    <row r="56" spans="1:8" ht="32">
      <c r="A56" s="23" t="s">
        <v>181</v>
      </c>
      <c r="B56" s="245"/>
      <c r="C56" s="25" t="s">
        <v>130</v>
      </c>
      <c r="D56" s="24">
        <v>5150</v>
      </c>
      <c r="E56" s="218" t="s">
        <v>177</v>
      </c>
      <c r="F56" s="245"/>
      <c r="G56" s="205" t="s">
        <v>341</v>
      </c>
      <c r="H56" t="s">
        <v>347</v>
      </c>
    </row>
    <row r="57" spans="1:8">
      <c r="A57" s="23"/>
      <c r="B57" s="25"/>
      <c r="C57" s="25"/>
      <c r="D57" s="24"/>
      <c r="E57" s="25"/>
      <c r="F57" s="25"/>
    </row>
    <row r="58" spans="1:8">
      <c r="A58" s="23" t="s">
        <v>182</v>
      </c>
      <c r="B58" s="248" t="s">
        <v>183</v>
      </c>
      <c r="C58" s="208" t="s">
        <v>130</v>
      </c>
      <c r="D58" s="24">
        <v>5100</v>
      </c>
      <c r="E58" s="208" t="s">
        <v>184</v>
      </c>
      <c r="F58" s="248"/>
      <c r="G58" t="s">
        <v>340</v>
      </c>
      <c r="H58" t="s">
        <v>344</v>
      </c>
    </row>
    <row r="59" spans="1:8">
      <c r="A59" s="23" t="s">
        <v>185</v>
      </c>
      <c r="B59" s="247"/>
      <c r="C59" s="208" t="s">
        <v>130</v>
      </c>
      <c r="D59" s="24">
        <v>4850</v>
      </c>
      <c r="E59" s="208" t="s">
        <v>184</v>
      </c>
      <c r="F59" s="247"/>
      <c r="G59" t="s">
        <v>340</v>
      </c>
      <c r="H59" t="s">
        <v>344</v>
      </c>
    </row>
    <row r="60" spans="1:8">
      <c r="A60" s="23"/>
      <c r="B60" s="28"/>
      <c r="C60" s="28"/>
      <c r="D60" s="24"/>
      <c r="E60" s="28"/>
      <c r="F60" s="28"/>
    </row>
    <row r="61" spans="1:8">
      <c r="A61" s="23" t="s">
        <v>172</v>
      </c>
      <c r="B61" s="246" t="s">
        <v>186</v>
      </c>
      <c r="C61" s="208" t="s">
        <v>130</v>
      </c>
      <c r="D61" s="24">
        <v>5200</v>
      </c>
      <c r="E61" s="209" t="s">
        <v>187</v>
      </c>
      <c r="F61" s="28"/>
      <c r="G61" t="s">
        <v>340</v>
      </c>
      <c r="H61" t="s">
        <v>347</v>
      </c>
    </row>
    <row r="62" spans="1:8">
      <c r="A62" s="23" t="s">
        <v>157</v>
      </c>
      <c r="B62" s="247"/>
      <c r="C62" s="208" t="s">
        <v>130</v>
      </c>
      <c r="D62" s="24">
        <v>5300</v>
      </c>
      <c r="E62" s="209" t="s">
        <v>187</v>
      </c>
      <c r="F62" s="28"/>
      <c r="G62" t="s">
        <v>340</v>
      </c>
      <c r="H62" t="s">
        <v>347</v>
      </c>
    </row>
    <row r="63" spans="1:8">
      <c r="A63" s="23"/>
      <c r="B63" s="25"/>
      <c r="C63" s="25"/>
      <c r="D63" s="24"/>
      <c r="E63" s="25"/>
      <c r="F63" s="25"/>
    </row>
    <row r="64" spans="1:8" ht="15" customHeight="1">
      <c r="A64" s="23" t="s">
        <v>188</v>
      </c>
      <c r="B64" s="245" t="s">
        <v>189</v>
      </c>
      <c r="C64" s="25" t="s">
        <v>130</v>
      </c>
      <c r="D64" s="24">
        <v>4900</v>
      </c>
      <c r="E64" s="218" t="s">
        <v>190</v>
      </c>
      <c r="F64" s="249"/>
      <c r="G64" t="s">
        <v>349</v>
      </c>
      <c r="H64" t="s">
        <v>343</v>
      </c>
    </row>
    <row r="65" spans="1:8">
      <c r="A65" s="23" t="s">
        <v>191</v>
      </c>
      <c r="B65" s="245"/>
      <c r="C65" s="25" t="s">
        <v>130</v>
      </c>
      <c r="D65" s="24">
        <v>4950</v>
      </c>
      <c r="E65" s="25" t="str">
        <f>$E$64</f>
        <v>4.12/4.13/4.15/4.23</v>
      </c>
      <c r="F65" s="245"/>
      <c r="G65" t="s">
        <v>349</v>
      </c>
      <c r="H65" t="s">
        <v>343</v>
      </c>
    </row>
    <row r="66" spans="1:8">
      <c r="A66" s="23" t="s">
        <v>192</v>
      </c>
      <c r="B66" s="245"/>
      <c r="C66" s="25" t="s">
        <v>130</v>
      </c>
      <c r="D66" s="24">
        <v>5000</v>
      </c>
      <c r="E66" s="25" t="str">
        <f t="shared" ref="E66:E72" si="4">$E$64</f>
        <v>4.12/4.13/4.15/4.23</v>
      </c>
      <c r="F66" s="245"/>
      <c r="G66" t="s">
        <v>349</v>
      </c>
      <c r="H66" t="s">
        <v>343</v>
      </c>
    </row>
    <row r="67" spans="1:8">
      <c r="A67" s="23" t="s">
        <v>193</v>
      </c>
      <c r="B67" s="245"/>
      <c r="C67" s="25" t="s">
        <v>130</v>
      </c>
      <c r="D67" s="24">
        <v>5150</v>
      </c>
      <c r="E67" s="25" t="str">
        <f t="shared" si="4"/>
        <v>4.12/4.13/4.15/4.23</v>
      </c>
      <c r="F67" s="245"/>
      <c r="G67" t="s">
        <v>349</v>
      </c>
      <c r="H67" t="s">
        <v>343</v>
      </c>
    </row>
    <row r="68" spans="1:8">
      <c r="A68" s="23" t="s">
        <v>194</v>
      </c>
      <c r="B68" s="245"/>
      <c r="C68" s="25" t="s">
        <v>130</v>
      </c>
      <c r="D68" s="24">
        <v>5200</v>
      </c>
      <c r="E68" s="25" t="str">
        <f t="shared" si="4"/>
        <v>4.12/4.13/4.15/4.23</v>
      </c>
      <c r="F68" s="245"/>
      <c r="G68" t="s">
        <v>349</v>
      </c>
      <c r="H68" t="s">
        <v>343</v>
      </c>
    </row>
    <row r="69" spans="1:8">
      <c r="A69" s="23" t="s">
        <v>195</v>
      </c>
      <c r="B69" s="245"/>
      <c r="C69" s="25" t="s">
        <v>130</v>
      </c>
      <c r="D69" s="24">
        <v>4650</v>
      </c>
      <c r="E69" s="25" t="str">
        <f t="shared" si="4"/>
        <v>4.12/4.13/4.15/4.23</v>
      </c>
      <c r="F69" s="245"/>
      <c r="G69" t="s">
        <v>349</v>
      </c>
      <c r="H69" t="s">
        <v>343</v>
      </c>
    </row>
    <row r="70" spans="1:8">
      <c r="A70" s="29" t="s">
        <v>196</v>
      </c>
      <c r="B70" s="245"/>
      <c r="C70" s="25" t="s">
        <v>130</v>
      </c>
      <c r="D70" s="24">
        <v>4700</v>
      </c>
      <c r="E70" s="25" t="str">
        <f t="shared" si="4"/>
        <v>4.12/4.13/4.15/4.23</v>
      </c>
      <c r="F70" s="245"/>
      <c r="G70" t="s">
        <v>349</v>
      </c>
      <c r="H70" t="s">
        <v>343</v>
      </c>
    </row>
    <row r="71" spans="1:8">
      <c r="A71" s="29" t="s">
        <v>197</v>
      </c>
      <c r="B71" s="245"/>
      <c r="C71" s="25" t="s">
        <v>130</v>
      </c>
      <c r="D71" s="24">
        <v>3850</v>
      </c>
      <c r="E71" s="25" t="str">
        <f t="shared" si="4"/>
        <v>4.12/4.13/4.15/4.23</v>
      </c>
      <c r="F71" s="245"/>
      <c r="G71" t="s">
        <v>349</v>
      </c>
      <c r="H71" t="s">
        <v>343</v>
      </c>
    </row>
    <row r="72" spans="1:8">
      <c r="A72" s="23" t="s">
        <v>198</v>
      </c>
      <c r="B72" s="245"/>
      <c r="C72" s="25" t="s">
        <v>130</v>
      </c>
      <c r="D72" s="24">
        <v>4350</v>
      </c>
      <c r="E72" s="25" t="str">
        <f t="shared" si="4"/>
        <v>4.12/4.13/4.15/4.23</v>
      </c>
      <c r="F72" s="245"/>
      <c r="G72" t="s">
        <v>349</v>
      </c>
      <c r="H72" t="s">
        <v>343</v>
      </c>
    </row>
    <row r="73" spans="1:8">
      <c r="A73" s="30"/>
      <c r="B73" s="31"/>
      <c r="C73" s="31"/>
      <c r="D73" s="32"/>
      <c r="E73" s="31"/>
      <c r="F73" s="31"/>
    </row>
    <row r="74" spans="1:8">
      <c r="A74" s="30" t="s">
        <v>164</v>
      </c>
      <c r="B74" s="268" t="s">
        <v>199</v>
      </c>
      <c r="C74" s="31" t="s">
        <v>200</v>
      </c>
      <c r="D74" s="32">
        <v>3500</v>
      </c>
      <c r="E74" s="231">
        <v>45766</v>
      </c>
      <c r="F74" s="31"/>
      <c r="G74" s="205" t="s">
        <v>342</v>
      </c>
      <c r="H74" t="s">
        <v>346</v>
      </c>
    </row>
    <row r="75" spans="1:8">
      <c r="A75" s="30" t="s">
        <v>160</v>
      </c>
      <c r="B75" s="268"/>
      <c r="C75" s="31" t="s">
        <v>200</v>
      </c>
      <c r="D75" s="32">
        <v>4060</v>
      </c>
      <c r="E75" s="231">
        <v>45766</v>
      </c>
      <c r="F75" s="31"/>
      <c r="G75" s="205" t="s">
        <v>342</v>
      </c>
      <c r="H75" t="s">
        <v>346</v>
      </c>
    </row>
    <row r="76" spans="1:8">
      <c r="A76" s="30" t="s">
        <v>128</v>
      </c>
      <c r="B76" s="268"/>
      <c r="C76" s="31" t="s">
        <v>200</v>
      </c>
      <c r="D76" s="32">
        <v>4600</v>
      </c>
      <c r="E76" s="231">
        <v>45766</v>
      </c>
      <c r="F76" s="31"/>
      <c r="G76" s="205" t="s">
        <v>342</v>
      </c>
      <c r="H76" t="s">
        <v>346</v>
      </c>
    </row>
    <row r="77" spans="1:8">
      <c r="A77" s="30" t="s">
        <v>201</v>
      </c>
      <c r="B77" s="268"/>
      <c r="C77" s="31" t="s">
        <v>200</v>
      </c>
      <c r="D77" s="32">
        <v>4800</v>
      </c>
      <c r="E77" s="231">
        <v>45766</v>
      </c>
      <c r="F77" s="31"/>
      <c r="G77" s="205" t="s">
        <v>342</v>
      </c>
      <c r="H77" t="s">
        <v>346</v>
      </c>
    </row>
    <row r="78" spans="1:8">
      <c r="A78" s="30" t="s">
        <v>136</v>
      </c>
      <c r="B78" s="268"/>
      <c r="C78" s="31" t="s">
        <v>200</v>
      </c>
      <c r="D78" s="32">
        <v>5000</v>
      </c>
      <c r="E78" s="231">
        <v>45766</v>
      </c>
      <c r="F78" s="31"/>
      <c r="G78" s="205" t="s">
        <v>342</v>
      </c>
      <c r="H78" t="s">
        <v>346</v>
      </c>
    </row>
    <row r="79" spans="1:8">
      <c r="A79" s="30" t="s">
        <v>202</v>
      </c>
      <c r="B79" s="268"/>
      <c r="C79" s="31" t="s">
        <v>200</v>
      </c>
      <c r="D79" s="32">
        <v>4650</v>
      </c>
      <c r="E79" s="231">
        <v>45766</v>
      </c>
      <c r="F79" s="31"/>
      <c r="G79" s="205" t="s">
        <v>342</v>
      </c>
      <c r="H79" t="s">
        <v>346</v>
      </c>
    </row>
    <row r="80" spans="1:8">
      <c r="A80" s="30" t="s">
        <v>203</v>
      </c>
      <c r="B80" s="268"/>
      <c r="C80" s="31" t="s">
        <v>200</v>
      </c>
      <c r="D80" s="32">
        <v>4850</v>
      </c>
      <c r="E80" s="231">
        <v>45766</v>
      </c>
      <c r="F80" s="31"/>
      <c r="G80" s="205" t="s">
        <v>342</v>
      </c>
      <c r="H80" t="s">
        <v>346</v>
      </c>
    </row>
    <row r="81" spans="1:8" ht="12" customHeight="1">
      <c r="A81" s="30" t="s">
        <v>137</v>
      </c>
      <c r="B81" s="268"/>
      <c r="C81" s="31" t="s">
        <v>200</v>
      </c>
      <c r="D81" s="32">
        <v>4800</v>
      </c>
      <c r="E81" s="231">
        <v>45766</v>
      </c>
      <c r="F81" s="31"/>
      <c r="G81" s="205" t="s">
        <v>342</v>
      </c>
      <c r="H81" t="s">
        <v>346</v>
      </c>
    </row>
    <row r="82" spans="1:8">
      <c r="A82" s="30" t="s">
        <v>204</v>
      </c>
      <c r="B82" s="268"/>
      <c r="C82" s="31" t="s">
        <v>200</v>
      </c>
      <c r="D82" s="32">
        <v>4850</v>
      </c>
      <c r="E82" s="231">
        <v>45766</v>
      </c>
      <c r="F82" s="31"/>
      <c r="G82" s="205" t="s">
        <v>342</v>
      </c>
      <c r="H82" t="s">
        <v>346</v>
      </c>
    </row>
    <row r="83" spans="1:8">
      <c r="A83" s="30" t="s">
        <v>181</v>
      </c>
      <c r="B83" s="268"/>
      <c r="C83" s="31"/>
      <c r="D83" s="32">
        <v>5300</v>
      </c>
      <c r="E83" s="231">
        <v>45766</v>
      </c>
      <c r="F83" s="31"/>
      <c r="G83" s="205" t="s">
        <v>342</v>
      </c>
      <c r="H83" t="s">
        <v>346</v>
      </c>
    </row>
    <row r="84" spans="1:8">
      <c r="A84" s="30"/>
      <c r="B84" s="31"/>
      <c r="C84" s="31"/>
      <c r="D84" s="32"/>
      <c r="E84" s="31"/>
      <c r="F84" s="31"/>
    </row>
    <row r="85" spans="1:8">
      <c r="A85" s="30" t="s">
        <v>148</v>
      </c>
      <c r="B85" s="268" t="s">
        <v>205</v>
      </c>
      <c r="C85" s="31" t="s">
        <v>200</v>
      </c>
      <c r="D85" s="32">
        <v>5550</v>
      </c>
      <c r="E85" s="231">
        <v>45766</v>
      </c>
      <c r="F85" s="31"/>
      <c r="G85" t="s">
        <v>349</v>
      </c>
      <c r="H85" t="s">
        <v>346</v>
      </c>
    </row>
    <row r="86" spans="1:8">
      <c r="A86" s="30" t="s">
        <v>149</v>
      </c>
      <c r="B86" s="268"/>
      <c r="C86" s="31" t="s">
        <v>200</v>
      </c>
      <c r="D86" s="32">
        <v>5500</v>
      </c>
      <c r="E86" s="231">
        <v>45766</v>
      </c>
      <c r="F86" s="31"/>
      <c r="G86" t="s">
        <v>349</v>
      </c>
      <c r="H86" t="s">
        <v>346</v>
      </c>
    </row>
    <row r="87" spans="1:8">
      <c r="A87" s="30" t="s">
        <v>136</v>
      </c>
      <c r="B87" s="268"/>
      <c r="C87" s="31" t="s">
        <v>200</v>
      </c>
      <c r="D87" s="32">
        <v>6050</v>
      </c>
      <c r="E87" s="231">
        <v>45766</v>
      </c>
      <c r="F87" s="31"/>
      <c r="G87" t="s">
        <v>349</v>
      </c>
      <c r="H87" t="s">
        <v>346</v>
      </c>
    </row>
    <row r="88" spans="1:8">
      <c r="A88" s="30"/>
      <c r="B88" s="31"/>
      <c r="C88" s="31"/>
      <c r="D88" s="32"/>
      <c r="E88" s="31"/>
      <c r="F88" s="31"/>
    </row>
    <row r="89" spans="1:8">
      <c r="A89" s="30" t="s">
        <v>146</v>
      </c>
      <c r="B89" s="268" t="s">
        <v>206</v>
      </c>
      <c r="C89" s="31" t="s">
        <v>200</v>
      </c>
      <c r="D89" s="32">
        <v>5430</v>
      </c>
      <c r="E89" s="232">
        <v>45773</v>
      </c>
      <c r="F89" s="31"/>
      <c r="G89" t="s">
        <v>340</v>
      </c>
      <c r="H89" t="s">
        <v>346</v>
      </c>
    </row>
    <row r="90" spans="1:8">
      <c r="A90" s="30" t="s">
        <v>148</v>
      </c>
      <c r="B90" s="268"/>
      <c r="C90" s="31" t="s">
        <v>200</v>
      </c>
      <c r="D90" s="32">
        <v>5400</v>
      </c>
      <c r="E90" s="232">
        <v>45773</v>
      </c>
      <c r="F90" s="31"/>
      <c r="G90" t="s">
        <v>340</v>
      </c>
      <c r="H90" t="s">
        <v>346</v>
      </c>
    </row>
    <row r="91" spans="1:8">
      <c r="A91" s="30" t="s">
        <v>149</v>
      </c>
      <c r="B91" s="268"/>
      <c r="C91" s="31" t="s">
        <v>200</v>
      </c>
      <c r="D91" s="32">
        <v>5300</v>
      </c>
      <c r="E91" s="232">
        <v>45773</v>
      </c>
      <c r="F91" s="31"/>
      <c r="G91" t="s">
        <v>340</v>
      </c>
      <c r="H91" t="s">
        <v>346</v>
      </c>
    </row>
    <row r="92" spans="1:8">
      <c r="A92" s="30"/>
      <c r="B92" s="31"/>
      <c r="C92" s="31"/>
      <c r="D92" s="32"/>
      <c r="E92" s="31"/>
      <c r="F92" s="31"/>
    </row>
    <row r="93" spans="1:8">
      <c r="A93" s="30" t="s">
        <v>160</v>
      </c>
      <c r="B93" s="269" t="s">
        <v>207</v>
      </c>
      <c r="C93" s="31" t="s">
        <v>200</v>
      </c>
      <c r="D93" s="32">
        <v>4300</v>
      </c>
      <c r="E93" s="233">
        <v>45775</v>
      </c>
      <c r="F93" s="31"/>
      <c r="G93" t="s">
        <v>340</v>
      </c>
      <c r="H93" t="s">
        <v>346</v>
      </c>
    </row>
    <row r="94" spans="1:8">
      <c r="A94" s="30" t="s">
        <v>208</v>
      </c>
      <c r="B94" s="270"/>
      <c r="C94" s="31" t="s">
        <v>200</v>
      </c>
      <c r="D94" s="32">
        <v>5000</v>
      </c>
      <c r="E94" s="234">
        <f>$E$93</f>
        <v>45775</v>
      </c>
      <c r="F94" s="31"/>
      <c r="G94" t="s">
        <v>340</v>
      </c>
      <c r="H94" t="s">
        <v>346</v>
      </c>
    </row>
    <row r="95" spans="1:8">
      <c r="A95" s="30" t="s">
        <v>209</v>
      </c>
      <c r="B95" s="270"/>
      <c r="C95" s="31" t="s">
        <v>200</v>
      </c>
      <c r="D95" s="32">
        <v>5100</v>
      </c>
      <c r="E95" s="234">
        <f t="shared" ref="E95:E100" si="5">$E$93</f>
        <v>45775</v>
      </c>
      <c r="F95" s="31"/>
      <c r="G95" t="s">
        <v>340</v>
      </c>
      <c r="H95" t="s">
        <v>346</v>
      </c>
    </row>
    <row r="96" spans="1:8">
      <c r="A96" s="30" t="s">
        <v>210</v>
      </c>
      <c r="B96" s="270"/>
      <c r="C96" s="31" t="s">
        <v>200</v>
      </c>
      <c r="D96" s="32">
        <v>5050</v>
      </c>
      <c r="E96" s="234">
        <f t="shared" si="5"/>
        <v>45775</v>
      </c>
      <c r="F96" s="31"/>
      <c r="G96" t="s">
        <v>340</v>
      </c>
      <c r="H96" t="s">
        <v>346</v>
      </c>
    </row>
    <row r="97" spans="1:13">
      <c r="A97" s="30" t="s">
        <v>137</v>
      </c>
      <c r="B97" s="270"/>
      <c r="C97" s="31" t="s">
        <v>200</v>
      </c>
      <c r="D97" s="32">
        <v>4950</v>
      </c>
      <c r="E97" s="234">
        <f t="shared" si="5"/>
        <v>45775</v>
      </c>
      <c r="F97" s="31"/>
      <c r="G97" t="s">
        <v>340</v>
      </c>
      <c r="H97" t="s">
        <v>346</v>
      </c>
    </row>
    <row r="98" spans="1:13">
      <c r="A98" s="30" t="s">
        <v>211</v>
      </c>
      <c r="B98" s="270"/>
      <c r="C98" s="31" t="s">
        <v>200</v>
      </c>
      <c r="D98" s="32">
        <v>5000</v>
      </c>
      <c r="E98" s="234">
        <f t="shared" si="5"/>
        <v>45775</v>
      </c>
      <c r="F98" s="31"/>
      <c r="G98" t="s">
        <v>340</v>
      </c>
      <c r="H98" t="s">
        <v>346</v>
      </c>
    </row>
    <row r="99" spans="1:13">
      <c r="A99" s="30" t="s">
        <v>172</v>
      </c>
      <c r="B99" s="270"/>
      <c r="C99" s="31" t="s">
        <v>200</v>
      </c>
      <c r="D99" s="32">
        <v>5150</v>
      </c>
      <c r="E99" s="234">
        <f t="shared" si="5"/>
        <v>45775</v>
      </c>
      <c r="F99" s="31"/>
      <c r="G99" t="s">
        <v>340</v>
      </c>
      <c r="H99" t="s">
        <v>346</v>
      </c>
    </row>
    <row r="100" spans="1:13">
      <c r="A100" s="30" t="s">
        <v>212</v>
      </c>
      <c r="B100" s="270"/>
      <c r="C100" s="31" t="s">
        <v>200</v>
      </c>
      <c r="D100" s="32">
        <v>5200</v>
      </c>
      <c r="E100" s="234">
        <f t="shared" si="5"/>
        <v>45775</v>
      </c>
      <c r="F100" s="31"/>
      <c r="G100" t="s">
        <v>340</v>
      </c>
      <c r="H100" t="s">
        <v>346</v>
      </c>
    </row>
    <row r="101" spans="1:13">
      <c r="A101" s="30" t="s">
        <v>157</v>
      </c>
      <c r="B101" s="271"/>
      <c r="C101" s="31" t="s">
        <v>200</v>
      </c>
      <c r="D101" s="32">
        <v>5650</v>
      </c>
      <c r="E101" s="214"/>
      <c r="F101" s="31"/>
    </row>
    <row r="102" spans="1:13">
      <c r="A102" s="30"/>
      <c r="B102" s="33"/>
      <c r="C102" s="32"/>
      <c r="D102" s="32"/>
      <c r="E102" s="33"/>
      <c r="F102" s="31"/>
    </row>
    <row r="103" spans="1:13">
      <c r="A103" s="30" t="s">
        <v>157</v>
      </c>
      <c r="B103" s="277" t="s">
        <v>213</v>
      </c>
      <c r="C103" s="31" t="s">
        <v>200</v>
      </c>
      <c r="D103" s="32">
        <v>5600</v>
      </c>
      <c r="E103" s="215" t="s">
        <v>214</v>
      </c>
      <c r="F103" s="31"/>
      <c r="G103" t="s">
        <v>340</v>
      </c>
      <c r="H103" t="s">
        <v>346</v>
      </c>
    </row>
    <row r="104" spans="1:13">
      <c r="A104" s="30" t="s">
        <v>215</v>
      </c>
      <c r="B104" s="270"/>
      <c r="C104" s="31" t="s">
        <v>200</v>
      </c>
      <c r="D104" s="32">
        <v>5600</v>
      </c>
      <c r="E104" s="215" t="s">
        <v>214</v>
      </c>
      <c r="F104" s="31"/>
      <c r="G104" t="s">
        <v>340</v>
      </c>
      <c r="H104" t="s">
        <v>346</v>
      </c>
    </row>
    <row r="105" spans="1:13">
      <c r="A105" s="30" t="s">
        <v>216</v>
      </c>
      <c r="B105" s="271"/>
      <c r="C105" s="31" t="s">
        <v>200</v>
      </c>
      <c r="D105" s="32">
        <v>5600</v>
      </c>
      <c r="E105" s="215" t="s">
        <v>214</v>
      </c>
      <c r="F105" s="31"/>
      <c r="G105" t="s">
        <v>340</v>
      </c>
      <c r="H105" t="s">
        <v>346</v>
      </c>
    </row>
    <row r="106" spans="1:13">
      <c r="A106" s="30"/>
      <c r="B106" s="32"/>
      <c r="C106" s="32"/>
      <c r="D106" s="32"/>
      <c r="E106" s="32"/>
      <c r="F106" s="31"/>
    </row>
    <row r="107" spans="1:13">
      <c r="A107" s="30" t="s">
        <v>172</v>
      </c>
      <c r="B107" s="268" t="s">
        <v>217</v>
      </c>
      <c r="C107" s="31" t="s">
        <v>200</v>
      </c>
      <c r="D107" s="32">
        <v>5550</v>
      </c>
      <c r="E107" s="31" t="s">
        <v>162</v>
      </c>
      <c r="F107" s="31"/>
      <c r="G107" t="s">
        <v>340</v>
      </c>
      <c r="H107" t="s">
        <v>346</v>
      </c>
    </row>
    <row r="108" spans="1:13">
      <c r="A108" s="30" t="s">
        <v>157</v>
      </c>
      <c r="B108" s="268"/>
      <c r="C108" s="31" t="s">
        <v>200</v>
      </c>
      <c r="D108" s="32">
        <v>5550</v>
      </c>
      <c r="E108" s="31" t="s">
        <v>162</v>
      </c>
      <c r="F108" s="31"/>
      <c r="G108" t="s">
        <v>340</v>
      </c>
      <c r="H108" t="s">
        <v>346</v>
      </c>
    </row>
    <row r="109" spans="1:13">
      <c r="A109" s="30" t="s">
        <v>218</v>
      </c>
      <c r="B109" s="268"/>
      <c r="C109" s="31" t="s">
        <v>200</v>
      </c>
      <c r="D109" s="32">
        <v>5550</v>
      </c>
      <c r="E109" s="31" t="s">
        <v>162</v>
      </c>
      <c r="F109" s="31"/>
      <c r="G109" t="s">
        <v>340</v>
      </c>
      <c r="H109" t="s">
        <v>346</v>
      </c>
      <c r="K109" t="s">
        <v>340</v>
      </c>
      <c r="M109" t="s">
        <v>343</v>
      </c>
    </row>
    <row r="110" spans="1:13" ht="15" customHeight="1">
      <c r="A110" s="30" t="s">
        <v>137</v>
      </c>
      <c r="B110" s="269" t="s">
        <v>219</v>
      </c>
      <c r="C110" s="31" t="s">
        <v>200</v>
      </c>
      <c r="D110" s="32">
        <v>5300</v>
      </c>
      <c r="E110" s="212" t="s">
        <v>220</v>
      </c>
      <c r="F110" s="31"/>
      <c r="G110" t="s">
        <v>340</v>
      </c>
      <c r="H110" t="s">
        <v>346</v>
      </c>
      <c r="K110" s="205" t="s">
        <v>341</v>
      </c>
      <c r="M110" t="s">
        <v>344</v>
      </c>
    </row>
    <row r="111" spans="1:13" ht="16">
      <c r="A111" s="30" t="s">
        <v>221</v>
      </c>
      <c r="B111" s="270"/>
      <c r="C111" s="31" t="s">
        <v>200</v>
      </c>
      <c r="D111" s="32">
        <v>5350</v>
      </c>
      <c r="E111" s="212" t="s">
        <v>220</v>
      </c>
      <c r="F111" s="31"/>
      <c r="G111" t="s">
        <v>340</v>
      </c>
      <c r="H111" t="s">
        <v>346</v>
      </c>
      <c r="K111" s="205" t="s">
        <v>342</v>
      </c>
      <c r="M111" s="205" t="s">
        <v>345</v>
      </c>
    </row>
    <row r="112" spans="1:13" ht="16">
      <c r="A112" s="30" t="s">
        <v>222</v>
      </c>
      <c r="B112" s="271"/>
      <c r="C112" s="31" t="s">
        <v>200</v>
      </c>
      <c r="D112" s="32">
        <v>5750</v>
      </c>
      <c r="E112" s="212" t="s">
        <v>220</v>
      </c>
      <c r="F112" s="31"/>
      <c r="G112" t="s">
        <v>340</v>
      </c>
      <c r="H112" t="s">
        <v>346</v>
      </c>
      <c r="K112" t="s">
        <v>349</v>
      </c>
      <c r="M112" t="s">
        <v>346</v>
      </c>
    </row>
    <row r="113" spans="1:13">
      <c r="A113" s="34"/>
      <c r="B113" s="35"/>
      <c r="C113" s="36"/>
      <c r="D113" s="36"/>
      <c r="E113" s="35"/>
      <c r="F113" s="35"/>
      <c r="M113" t="s">
        <v>347</v>
      </c>
    </row>
    <row r="114" spans="1:13" ht="16">
      <c r="A114" s="34" t="s">
        <v>160</v>
      </c>
      <c r="B114" s="272" t="s">
        <v>223</v>
      </c>
      <c r="C114" s="35" t="s">
        <v>224</v>
      </c>
      <c r="D114" s="36">
        <v>3900</v>
      </c>
      <c r="E114" s="241" t="s">
        <v>354</v>
      </c>
      <c r="F114" s="35"/>
      <c r="G114" t="s">
        <v>340</v>
      </c>
      <c r="H114" t="s">
        <v>224</v>
      </c>
      <c r="M114" t="s">
        <v>348</v>
      </c>
    </row>
    <row r="115" spans="1:13" ht="16">
      <c r="A115" s="34" t="s">
        <v>208</v>
      </c>
      <c r="B115" s="272"/>
      <c r="C115" s="35" t="s">
        <v>224</v>
      </c>
      <c r="D115" s="36">
        <v>4600</v>
      </c>
      <c r="E115" s="241" t="s">
        <v>354</v>
      </c>
      <c r="F115" s="35"/>
      <c r="G115" t="s">
        <v>340</v>
      </c>
      <c r="H115" t="s">
        <v>224</v>
      </c>
      <c r="M115" t="s">
        <v>224</v>
      </c>
    </row>
    <row r="116" spans="1:13" ht="16">
      <c r="A116" s="34" t="s">
        <v>209</v>
      </c>
      <c r="B116" s="272"/>
      <c r="C116" s="35" t="s">
        <v>224</v>
      </c>
      <c r="D116" s="36">
        <v>4700</v>
      </c>
      <c r="E116" s="241" t="s">
        <v>354</v>
      </c>
      <c r="F116" s="35"/>
      <c r="G116" t="s">
        <v>340</v>
      </c>
      <c r="H116" t="s">
        <v>224</v>
      </c>
      <c r="M116" t="s">
        <v>229</v>
      </c>
    </row>
    <row r="117" spans="1:13" ht="16">
      <c r="A117" s="34" t="s">
        <v>210</v>
      </c>
      <c r="B117" s="272"/>
      <c r="C117" s="35" t="s">
        <v>224</v>
      </c>
      <c r="D117" s="36">
        <v>4650</v>
      </c>
      <c r="E117" s="241" t="s">
        <v>354</v>
      </c>
      <c r="F117" s="35"/>
      <c r="G117" t="s">
        <v>340</v>
      </c>
      <c r="H117" t="s">
        <v>224</v>
      </c>
      <c r="M117" t="s">
        <v>130</v>
      </c>
    </row>
    <row r="118" spans="1:13" ht="16">
      <c r="A118" s="34" t="s">
        <v>137</v>
      </c>
      <c r="B118" s="272"/>
      <c r="C118" s="35" t="s">
        <v>224</v>
      </c>
      <c r="D118" s="36">
        <v>4550</v>
      </c>
      <c r="E118" s="241" t="s">
        <v>354</v>
      </c>
      <c r="F118" s="35"/>
      <c r="G118" t="s">
        <v>340</v>
      </c>
      <c r="H118" t="s">
        <v>224</v>
      </c>
    </row>
    <row r="119" spans="1:13" ht="16">
      <c r="A119" s="34" t="s">
        <v>211</v>
      </c>
      <c r="B119" s="272"/>
      <c r="C119" s="35" t="s">
        <v>224</v>
      </c>
      <c r="D119" s="36">
        <v>4600</v>
      </c>
      <c r="E119" s="241" t="s">
        <v>354</v>
      </c>
      <c r="F119" s="35"/>
      <c r="G119" t="s">
        <v>340</v>
      </c>
      <c r="H119" t="s">
        <v>224</v>
      </c>
    </row>
    <row r="120" spans="1:13" ht="16">
      <c r="A120" s="34" t="s">
        <v>172</v>
      </c>
      <c r="B120" s="272"/>
      <c r="C120" s="35" t="s">
        <v>224</v>
      </c>
      <c r="D120" s="36">
        <v>4750</v>
      </c>
      <c r="E120" s="241" t="s">
        <v>354</v>
      </c>
      <c r="F120" s="35"/>
      <c r="G120" t="s">
        <v>340</v>
      </c>
      <c r="H120" t="s">
        <v>224</v>
      </c>
    </row>
    <row r="121" spans="1:13" ht="16">
      <c r="A121" s="34" t="s">
        <v>212</v>
      </c>
      <c r="B121" s="272"/>
      <c r="C121" s="35" t="s">
        <v>224</v>
      </c>
      <c r="D121" s="36">
        <v>4800</v>
      </c>
      <c r="E121" s="241" t="s">
        <v>354</v>
      </c>
      <c r="F121" s="35"/>
      <c r="G121" t="s">
        <v>340</v>
      </c>
      <c r="H121" t="s">
        <v>224</v>
      </c>
    </row>
    <row r="122" spans="1:13" ht="16">
      <c r="A122" s="37" t="s">
        <v>157</v>
      </c>
      <c r="B122" s="272"/>
      <c r="C122" s="35" t="s">
        <v>224</v>
      </c>
      <c r="D122" s="36">
        <v>5250</v>
      </c>
      <c r="E122" s="241" t="s">
        <v>354</v>
      </c>
      <c r="F122" s="35"/>
      <c r="G122" t="s">
        <v>340</v>
      </c>
      <c r="H122" t="s">
        <v>224</v>
      </c>
    </row>
    <row r="123" spans="1:13">
      <c r="A123" s="37"/>
      <c r="B123" s="38"/>
      <c r="C123" s="38"/>
      <c r="D123" s="39"/>
      <c r="E123" s="38"/>
      <c r="F123" s="35"/>
    </row>
    <row r="124" spans="1:13">
      <c r="A124" s="37" t="s">
        <v>146</v>
      </c>
      <c r="B124" s="273" t="s">
        <v>225</v>
      </c>
      <c r="C124" s="221" t="s">
        <v>224</v>
      </c>
      <c r="D124" s="39">
        <v>4930</v>
      </c>
      <c r="E124" s="240" t="s">
        <v>353</v>
      </c>
      <c r="F124" s="253"/>
      <c r="G124" t="s">
        <v>340</v>
      </c>
      <c r="H124" t="s">
        <v>224</v>
      </c>
    </row>
    <row r="125" spans="1:13">
      <c r="A125" s="37" t="s">
        <v>148</v>
      </c>
      <c r="B125" s="274"/>
      <c r="C125" s="221" t="s">
        <v>224</v>
      </c>
      <c r="D125" s="39">
        <v>4900</v>
      </c>
      <c r="E125" s="240" t="s">
        <v>353</v>
      </c>
      <c r="F125" s="254"/>
      <c r="G125" t="s">
        <v>340</v>
      </c>
      <c r="H125" t="s">
        <v>224</v>
      </c>
    </row>
    <row r="126" spans="1:13">
      <c r="A126" s="37" t="s">
        <v>149</v>
      </c>
      <c r="B126" s="275"/>
      <c r="C126" s="221" t="s">
        <v>224</v>
      </c>
      <c r="D126" s="39">
        <v>4800</v>
      </c>
      <c r="E126" s="240" t="s">
        <v>353</v>
      </c>
      <c r="F126" s="255"/>
      <c r="G126" t="s">
        <v>340</v>
      </c>
      <c r="H126" t="s">
        <v>224</v>
      </c>
    </row>
    <row r="127" spans="1:13">
      <c r="A127" s="37"/>
      <c r="B127" s="38"/>
      <c r="C127" s="38"/>
      <c r="D127" s="39"/>
      <c r="E127" s="38"/>
      <c r="F127" s="35"/>
    </row>
    <row r="128" spans="1:13" ht="15" customHeight="1">
      <c r="A128" s="37" t="s">
        <v>137</v>
      </c>
      <c r="B128" s="276" t="s">
        <v>226</v>
      </c>
      <c r="C128" s="221" t="s">
        <v>224</v>
      </c>
      <c r="D128" s="39">
        <v>5250</v>
      </c>
      <c r="E128" s="213" t="s">
        <v>227</v>
      </c>
      <c r="F128" s="35"/>
      <c r="G128" t="s">
        <v>340</v>
      </c>
      <c r="H128" t="s">
        <v>224</v>
      </c>
    </row>
    <row r="129" spans="1:8" ht="16">
      <c r="A129" s="37" t="s">
        <v>178</v>
      </c>
      <c r="B129" s="274"/>
      <c r="C129" s="221" t="s">
        <v>224</v>
      </c>
      <c r="D129" s="39">
        <v>5350</v>
      </c>
      <c r="E129" s="213" t="s">
        <v>227</v>
      </c>
      <c r="F129" s="35"/>
      <c r="G129" t="s">
        <v>340</v>
      </c>
      <c r="H129" t="s">
        <v>224</v>
      </c>
    </row>
    <row r="130" spans="1:8" ht="16">
      <c r="A130" s="37" t="s">
        <v>179</v>
      </c>
      <c r="B130" s="274"/>
      <c r="C130" s="221" t="s">
        <v>224</v>
      </c>
      <c r="D130" s="39">
        <v>5400</v>
      </c>
      <c r="E130" s="213" t="s">
        <v>227</v>
      </c>
      <c r="F130" s="35"/>
      <c r="G130" t="s">
        <v>340</v>
      </c>
      <c r="H130" t="s">
        <v>224</v>
      </c>
    </row>
    <row r="131" spans="1:8" ht="16">
      <c r="A131" s="37" t="s">
        <v>181</v>
      </c>
      <c r="B131" s="275"/>
      <c r="C131" s="221" t="s">
        <v>224</v>
      </c>
      <c r="D131" s="39">
        <v>5700</v>
      </c>
      <c r="E131" s="213" t="s">
        <v>227</v>
      </c>
      <c r="F131" s="35"/>
      <c r="G131" t="s">
        <v>340</v>
      </c>
      <c r="H131" t="s">
        <v>224</v>
      </c>
    </row>
    <row r="132" spans="1:8">
      <c r="A132" s="40"/>
      <c r="B132" s="41"/>
      <c r="C132" s="41"/>
      <c r="D132" s="42"/>
      <c r="E132" s="43"/>
      <c r="F132" s="43"/>
    </row>
    <row r="133" spans="1:8" ht="15" customHeight="1">
      <c r="A133" s="40" t="s">
        <v>137</v>
      </c>
      <c r="B133" s="259" t="s">
        <v>228</v>
      </c>
      <c r="C133" s="222" t="s">
        <v>229</v>
      </c>
      <c r="D133" s="42">
        <v>4750</v>
      </c>
      <c r="E133" s="210" t="s">
        <v>227</v>
      </c>
      <c r="F133" s="43"/>
      <c r="G133" t="s">
        <v>340</v>
      </c>
      <c r="H133" t="s">
        <v>229</v>
      </c>
    </row>
    <row r="134" spans="1:8" ht="16">
      <c r="A134" s="40" t="s">
        <v>178</v>
      </c>
      <c r="B134" s="260"/>
      <c r="C134" s="222" t="s">
        <v>229</v>
      </c>
      <c r="D134" s="42">
        <v>4850</v>
      </c>
      <c r="E134" s="210" t="s">
        <v>227</v>
      </c>
      <c r="F134" s="43"/>
      <c r="G134" t="s">
        <v>340</v>
      </c>
      <c r="H134" t="s">
        <v>229</v>
      </c>
    </row>
    <row r="135" spans="1:8" ht="16">
      <c r="A135" s="40" t="s">
        <v>179</v>
      </c>
      <c r="B135" s="260"/>
      <c r="C135" s="222" t="s">
        <v>229</v>
      </c>
      <c r="D135" s="42">
        <v>4900</v>
      </c>
      <c r="E135" s="210" t="s">
        <v>227</v>
      </c>
      <c r="F135" s="43"/>
      <c r="G135" t="s">
        <v>340</v>
      </c>
      <c r="H135" t="s">
        <v>229</v>
      </c>
    </row>
    <row r="136" spans="1:8" ht="16">
      <c r="A136" s="40" t="s">
        <v>181</v>
      </c>
      <c r="B136" s="261"/>
      <c r="C136" s="222" t="s">
        <v>229</v>
      </c>
      <c r="D136" s="42">
        <v>5200</v>
      </c>
      <c r="E136" s="210" t="s">
        <v>227</v>
      </c>
      <c r="F136" s="43"/>
      <c r="G136" t="s">
        <v>340</v>
      </c>
      <c r="H136" t="s">
        <v>229</v>
      </c>
    </row>
    <row r="137" spans="1:8">
      <c r="A137" s="40"/>
      <c r="B137" s="44"/>
      <c r="C137" s="44"/>
      <c r="D137" s="42"/>
      <c r="E137" s="45"/>
      <c r="F137" s="43"/>
    </row>
    <row r="138" spans="1:8">
      <c r="A138" s="40" t="s">
        <v>146</v>
      </c>
      <c r="B138" s="260" t="s">
        <v>230</v>
      </c>
      <c r="C138" s="220" t="s">
        <v>229</v>
      </c>
      <c r="D138" s="42">
        <v>4480</v>
      </c>
      <c r="E138" s="238">
        <v>45773</v>
      </c>
      <c r="F138" s="256"/>
      <c r="G138" t="s">
        <v>340</v>
      </c>
      <c r="H138" t="s">
        <v>229</v>
      </c>
    </row>
    <row r="139" spans="1:8">
      <c r="A139" s="40" t="s">
        <v>148</v>
      </c>
      <c r="B139" s="260"/>
      <c r="C139" s="220" t="s">
        <v>229</v>
      </c>
      <c r="D139" s="42">
        <v>4650</v>
      </c>
      <c r="E139" s="238">
        <v>45773</v>
      </c>
      <c r="F139" s="257"/>
      <c r="G139" t="s">
        <v>340</v>
      </c>
      <c r="H139" t="s">
        <v>229</v>
      </c>
    </row>
    <row r="140" spans="1:8">
      <c r="A140" s="40" t="s">
        <v>149</v>
      </c>
      <c r="B140" s="261"/>
      <c r="C140" s="220" t="s">
        <v>229</v>
      </c>
      <c r="D140" s="42">
        <v>4350</v>
      </c>
      <c r="E140" s="238">
        <v>45773</v>
      </c>
      <c r="F140" s="258"/>
      <c r="G140" t="s">
        <v>340</v>
      </c>
      <c r="H140" t="s">
        <v>229</v>
      </c>
    </row>
    <row r="141" spans="1:8">
      <c r="A141" s="40"/>
      <c r="B141" s="42"/>
      <c r="C141" s="42"/>
      <c r="D141" s="42"/>
      <c r="E141" s="46"/>
      <c r="F141" s="43"/>
    </row>
    <row r="142" spans="1:8">
      <c r="A142" s="40" t="s">
        <v>160</v>
      </c>
      <c r="B142" s="262" t="s">
        <v>231</v>
      </c>
      <c r="C142" s="41" t="s">
        <v>229</v>
      </c>
      <c r="D142" s="42">
        <v>3650</v>
      </c>
      <c r="E142" s="238">
        <v>45775</v>
      </c>
      <c r="F142" s="43"/>
      <c r="G142" t="s">
        <v>340</v>
      </c>
      <c r="H142" t="s">
        <v>229</v>
      </c>
    </row>
    <row r="143" spans="1:8">
      <c r="A143" s="40" t="s">
        <v>208</v>
      </c>
      <c r="B143" s="263"/>
      <c r="C143" s="41" t="s">
        <v>229</v>
      </c>
      <c r="D143" s="42">
        <v>4350</v>
      </c>
      <c r="E143" s="238">
        <v>45775</v>
      </c>
      <c r="F143" s="43"/>
      <c r="G143" t="s">
        <v>340</v>
      </c>
      <c r="H143" t="s">
        <v>229</v>
      </c>
    </row>
    <row r="144" spans="1:8">
      <c r="A144" s="40" t="s">
        <v>209</v>
      </c>
      <c r="B144" s="263"/>
      <c r="C144" s="41" t="s">
        <v>229</v>
      </c>
      <c r="D144" s="42">
        <v>4450</v>
      </c>
      <c r="E144" s="238">
        <v>45775</v>
      </c>
      <c r="F144" s="43"/>
      <c r="G144" t="s">
        <v>340</v>
      </c>
      <c r="H144" t="s">
        <v>229</v>
      </c>
    </row>
    <row r="145" spans="1:8">
      <c r="A145" s="40" t="s">
        <v>210</v>
      </c>
      <c r="B145" s="263"/>
      <c r="C145" s="41" t="s">
        <v>229</v>
      </c>
      <c r="D145" s="42">
        <v>4350</v>
      </c>
      <c r="E145" s="238">
        <v>45775</v>
      </c>
      <c r="F145" s="43"/>
      <c r="G145" t="s">
        <v>340</v>
      </c>
      <c r="H145" t="s">
        <v>229</v>
      </c>
    </row>
    <row r="146" spans="1:8">
      <c r="A146" s="40" t="s">
        <v>137</v>
      </c>
      <c r="B146" s="263"/>
      <c r="C146" s="41" t="s">
        <v>229</v>
      </c>
      <c r="D146" s="42">
        <v>4300</v>
      </c>
      <c r="E146" s="238">
        <v>45775</v>
      </c>
      <c r="F146" s="43"/>
      <c r="G146" t="s">
        <v>340</v>
      </c>
      <c r="H146" t="s">
        <v>229</v>
      </c>
    </row>
    <row r="147" spans="1:8">
      <c r="A147" s="40" t="s">
        <v>211</v>
      </c>
      <c r="B147" s="263"/>
      <c r="C147" s="41" t="s">
        <v>229</v>
      </c>
      <c r="D147" s="42">
        <v>4350</v>
      </c>
      <c r="E147" s="238">
        <v>45775</v>
      </c>
      <c r="F147" s="43"/>
      <c r="G147" t="s">
        <v>340</v>
      </c>
      <c r="H147" t="s">
        <v>229</v>
      </c>
    </row>
    <row r="148" spans="1:8">
      <c r="A148" s="40" t="s">
        <v>172</v>
      </c>
      <c r="B148" s="263"/>
      <c r="C148" s="41" t="s">
        <v>229</v>
      </c>
      <c r="D148" s="42">
        <v>4500</v>
      </c>
      <c r="E148" s="238">
        <v>45775</v>
      </c>
      <c r="F148" s="43"/>
      <c r="G148" t="s">
        <v>340</v>
      </c>
      <c r="H148" t="s">
        <v>229</v>
      </c>
    </row>
    <row r="149" spans="1:8">
      <c r="A149" s="40" t="s">
        <v>212</v>
      </c>
      <c r="B149" s="263"/>
      <c r="C149" s="41" t="s">
        <v>229</v>
      </c>
      <c r="D149" s="42">
        <v>4550</v>
      </c>
      <c r="E149" s="238">
        <v>45775</v>
      </c>
      <c r="F149" s="43"/>
      <c r="G149" t="s">
        <v>340</v>
      </c>
      <c r="H149" t="s">
        <v>229</v>
      </c>
    </row>
    <row r="150" spans="1:8">
      <c r="A150" s="40" t="s">
        <v>157</v>
      </c>
      <c r="B150" s="263"/>
      <c r="C150" s="41" t="s">
        <v>229</v>
      </c>
      <c r="D150" s="42">
        <v>5000</v>
      </c>
      <c r="E150" s="238">
        <v>45775</v>
      </c>
      <c r="F150" s="43"/>
      <c r="G150" t="s">
        <v>340</v>
      </c>
      <c r="H150" t="s">
        <v>229</v>
      </c>
    </row>
    <row r="151" spans="1:8">
      <c r="A151" s="47"/>
      <c r="B151" s="48"/>
      <c r="C151" s="48"/>
      <c r="D151" s="49"/>
      <c r="E151" s="48"/>
      <c r="F151" s="50"/>
      <c r="H151" s="235" t="s">
        <v>348</v>
      </c>
    </row>
    <row r="152" spans="1:8" ht="15" customHeight="1">
      <c r="A152" s="47" t="s">
        <v>232</v>
      </c>
      <c r="B152" s="264" t="s">
        <v>233</v>
      </c>
      <c r="C152" s="48" t="s">
        <v>234</v>
      </c>
      <c r="D152" s="49">
        <v>5500</v>
      </c>
      <c r="E152" s="219" t="s">
        <v>235</v>
      </c>
      <c r="F152" s="50"/>
      <c r="G152" s="205" t="s">
        <v>342</v>
      </c>
      <c r="H152" t="s">
        <v>348</v>
      </c>
    </row>
    <row r="153" spans="1:8">
      <c r="A153" s="47" t="s">
        <v>236</v>
      </c>
      <c r="B153" s="243"/>
      <c r="C153" s="48" t="s">
        <v>234</v>
      </c>
      <c r="D153" s="49">
        <v>5650</v>
      </c>
      <c r="E153" s="50" t="str">
        <f>$E$152</f>
        <v>4.22/4.24/
4.27/4.29/4.30</v>
      </c>
      <c r="F153" s="50"/>
      <c r="G153" s="205" t="s">
        <v>342</v>
      </c>
      <c r="H153" t="s">
        <v>348</v>
      </c>
    </row>
    <row r="154" spans="1:8">
      <c r="A154" s="47" t="s">
        <v>237</v>
      </c>
      <c r="B154" s="243"/>
      <c r="C154" s="48" t="s">
        <v>234</v>
      </c>
      <c r="D154" s="49">
        <v>5500</v>
      </c>
      <c r="E154" s="50" t="str">
        <f t="shared" ref="E154:E162" si="6">$E$152</f>
        <v>4.22/4.24/
4.27/4.29/4.30</v>
      </c>
      <c r="F154" s="50"/>
      <c r="G154" s="205" t="s">
        <v>342</v>
      </c>
      <c r="H154" t="s">
        <v>348</v>
      </c>
    </row>
    <row r="155" spans="1:8">
      <c r="A155" s="47" t="s">
        <v>238</v>
      </c>
      <c r="B155" s="243"/>
      <c r="C155" s="48" t="s">
        <v>234</v>
      </c>
      <c r="D155" s="49">
        <v>5550</v>
      </c>
      <c r="E155" s="50" t="str">
        <f t="shared" si="6"/>
        <v>4.22/4.24/
4.27/4.29/4.30</v>
      </c>
      <c r="F155" s="50"/>
      <c r="G155" s="205" t="s">
        <v>342</v>
      </c>
      <c r="H155" t="s">
        <v>348</v>
      </c>
    </row>
    <row r="156" spans="1:8">
      <c r="A156" s="47" t="s">
        <v>239</v>
      </c>
      <c r="B156" s="243"/>
      <c r="C156" s="48" t="s">
        <v>234</v>
      </c>
      <c r="D156" s="49">
        <v>5600</v>
      </c>
      <c r="E156" s="50" t="str">
        <f t="shared" si="6"/>
        <v>4.22/4.24/
4.27/4.29/4.30</v>
      </c>
      <c r="F156" s="50"/>
      <c r="G156" s="205" t="s">
        <v>342</v>
      </c>
      <c r="H156" t="s">
        <v>348</v>
      </c>
    </row>
    <row r="157" spans="1:8">
      <c r="A157" s="47" t="s">
        <v>240</v>
      </c>
      <c r="B157" s="243"/>
      <c r="C157" s="48" t="s">
        <v>234</v>
      </c>
      <c r="D157" s="49">
        <v>5700</v>
      </c>
      <c r="E157" s="50" t="str">
        <f t="shared" si="6"/>
        <v>4.22/4.24/
4.27/4.29/4.30</v>
      </c>
      <c r="F157" s="50"/>
      <c r="G157" s="205" t="s">
        <v>342</v>
      </c>
      <c r="H157" t="s">
        <v>348</v>
      </c>
    </row>
    <row r="158" spans="1:8">
      <c r="A158" s="47" t="s">
        <v>137</v>
      </c>
      <c r="B158" s="243"/>
      <c r="C158" s="48" t="s">
        <v>234</v>
      </c>
      <c r="D158" s="49">
        <v>5550</v>
      </c>
      <c r="E158" s="50" t="str">
        <f t="shared" si="6"/>
        <v>4.22/4.24/
4.27/4.29/4.30</v>
      </c>
      <c r="F158" s="50"/>
      <c r="G158" s="205" t="s">
        <v>342</v>
      </c>
      <c r="H158" t="s">
        <v>348</v>
      </c>
    </row>
    <row r="159" spans="1:8">
      <c r="A159" s="47" t="s">
        <v>138</v>
      </c>
      <c r="B159" s="243"/>
      <c r="C159" s="48" t="s">
        <v>234</v>
      </c>
      <c r="D159" s="49">
        <v>5600</v>
      </c>
      <c r="E159" s="50" t="str">
        <f t="shared" si="6"/>
        <v>4.22/4.24/
4.27/4.29/4.30</v>
      </c>
      <c r="F159" s="50"/>
      <c r="G159" s="205" t="s">
        <v>342</v>
      </c>
      <c r="H159" t="s">
        <v>348</v>
      </c>
    </row>
    <row r="160" spans="1:8">
      <c r="A160" s="47" t="s">
        <v>241</v>
      </c>
      <c r="B160" s="243"/>
      <c r="C160" s="48" t="s">
        <v>234</v>
      </c>
      <c r="D160" s="49">
        <v>6000</v>
      </c>
      <c r="E160" s="50" t="str">
        <f t="shared" si="6"/>
        <v>4.22/4.24/
4.27/4.29/4.30</v>
      </c>
      <c r="F160" s="50"/>
      <c r="G160" s="205" t="s">
        <v>342</v>
      </c>
      <c r="H160" t="s">
        <v>348</v>
      </c>
    </row>
    <row r="161" spans="1:8">
      <c r="A161" s="47" t="s">
        <v>164</v>
      </c>
      <c r="B161" s="243"/>
      <c r="C161" s="48" t="s">
        <v>234</v>
      </c>
      <c r="D161" s="49">
        <v>4200</v>
      </c>
      <c r="E161" s="50" t="str">
        <f t="shared" si="6"/>
        <v>4.22/4.24/
4.27/4.29/4.30</v>
      </c>
      <c r="F161" s="50"/>
      <c r="G161" s="205" t="s">
        <v>342</v>
      </c>
      <c r="H161" t="s">
        <v>348</v>
      </c>
    </row>
    <row r="162" spans="1:8">
      <c r="A162" s="47" t="s">
        <v>136</v>
      </c>
      <c r="B162" s="243"/>
      <c r="C162" s="48"/>
      <c r="D162" s="49">
        <v>5750</v>
      </c>
      <c r="E162" s="50" t="str">
        <f t="shared" si="6"/>
        <v>4.22/4.24/
4.27/4.29/4.30</v>
      </c>
      <c r="F162" s="50"/>
      <c r="G162" s="205" t="s">
        <v>342</v>
      </c>
      <c r="H162" t="s">
        <v>348</v>
      </c>
    </row>
    <row r="163" spans="1:8">
      <c r="A163" s="47"/>
      <c r="B163" s="48"/>
      <c r="C163" s="48"/>
      <c r="D163" s="49"/>
      <c r="E163" s="48"/>
      <c r="F163" s="50"/>
    </row>
    <row r="164" spans="1:8">
      <c r="A164" s="47" t="s">
        <v>146</v>
      </c>
      <c r="B164" s="265" t="s">
        <v>242</v>
      </c>
      <c r="C164" s="211" t="s">
        <v>234</v>
      </c>
      <c r="D164" s="49">
        <v>5730</v>
      </c>
      <c r="E164" s="239" t="s">
        <v>353</v>
      </c>
      <c r="F164" s="50"/>
      <c r="G164" t="s">
        <v>340</v>
      </c>
      <c r="H164" t="s">
        <v>348</v>
      </c>
    </row>
    <row r="165" spans="1:8">
      <c r="A165" s="47" t="s">
        <v>148</v>
      </c>
      <c r="B165" s="266"/>
      <c r="C165" s="211" t="s">
        <v>234</v>
      </c>
      <c r="D165" s="49">
        <v>5700</v>
      </c>
      <c r="E165" s="239" t="s">
        <v>353</v>
      </c>
      <c r="F165" s="50"/>
      <c r="G165" t="s">
        <v>340</v>
      </c>
      <c r="H165" t="s">
        <v>348</v>
      </c>
    </row>
    <row r="166" spans="1:8">
      <c r="A166" s="47" t="s">
        <v>149</v>
      </c>
      <c r="B166" s="267"/>
      <c r="C166" s="211" t="s">
        <v>234</v>
      </c>
      <c r="D166" s="49">
        <v>5600</v>
      </c>
      <c r="E166" s="239" t="s">
        <v>353</v>
      </c>
      <c r="F166" s="50"/>
      <c r="G166" t="s">
        <v>340</v>
      </c>
      <c r="H166" t="s">
        <v>348</v>
      </c>
    </row>
    <row r="167" spans="1:8">
      <c r="A167" s="47"/>
      <c r="B167" s="48"/>
      <c r="C167" s="48"/>
      <c r="D167" s="49"/>
      <c r="E167" s="48"/>
      <c r="F167" s="50"/>
    </row>
    <row r="168" spans="1:8" ht="15" hidden="1" customHeight="1">
      <c r="A168" s="48" t="s">
        <v>243</v>
      </c>
      <c r="B168" s="243" t="s">
        <v>244</v>
      </c>
      <c r="C168" s="48" t="s">
        <v>234</v>
      </c>
      <c r="D168" s="49"/>
      <c r="E168" s="242"/>
      <c r="F168" s="50"/>
    </row>
    <row r="169" spans="1:8" ht="15" hidden="1" customHeight="1">
      <c r="A169" s="48" t="s">
        <v>245</v>
      </c>
      <c r="B169" s="243"/>
      <c r="C169" s="48"/>
      <c r="D169" s="49"/>
      <c r="E169" s="243"/>
      <c r="F169" s="50"/>
    </row>
    <row r="170" spans="1:8" ht="15" hidden="1" customHeight="1">
      <c r="A170" s="48" t="s">
        <v>246</v>
      </c>
      <c r="B170" s="243"/>
      <c r="C170" s="48"/>
      <c r="D170" s="49"/>
      <c r="E170" s="243"/>
      <c r="F170" s="50"/>
    </row>
    <row r="171" spans="1:8" ht="15" hidden="1" customHeight="1">
      <c r="A171" s="48" t="s">
        <v>247</v>
      </c>
      <c r="B171" s="243"/>
      <c r="C171" s="48"/>
      <c r="D171" s="49"/>
      <c r="E171" s="243"/>
      <c r="F171" s="50"/>
    </row>
    <row r="172" spans="1:8" ht="15" hidden="1" customHeight="1">
      <c r="A172" s="48" t="s">
        <v>248</v>
      </c>
      <c r="B172" s="243"/>
      <c r="C172" s="48"/>
      <c r="D172" s="49"/>
      <c r="E172" s="243"/>
      <c r="F172" s="50"/>
    </row>
    <row r="173" spans="1:8" ht="15" hidden="1" customHeight="1">
      <c r="A173" s="48" t="s">
        <v>240</v>
      </c>
      <c r="B173" s="243"/>
      <c r="C173" s="48"/>
      <c r="D173" s="49"/>
      <c r="E173" s="243"/>
      <c r="F173" s="50"/>
    </row>
    <row r="174" spans="1:8" ht="15" hidden="1" customHeight="1">
      <c r="A174" s="48" t="s">
        <v>137</v>
      </c>
      <c r="B174" s="243"/>
      <c r="C174" s="48"/>
      <c r="D174" s="49"/>
      <c r="E174" s="243"/>
      <c r="F174" s="50"/>
    </row>
    <row r="175" spans="1:8" ht="15" hidden="1" customHeight="1">
      <c r="A175" s="48" t="s">
        <v>138</v>
      </c>
      <c r="B175" s="243"/>
      <c r="C175" s="48"/>
      <c r="D175" s="49"/>
      <c r="E175" s="243"/>
      <c r="F175" s="50"/>
    </row>
    <row r="176" spans="1:8" ht="15" hidden="1" customHeight="1">
      <c r="A176" s="48" t="s">
        <v>136</v>
      </c>
      <c r="B176" s="243"/>
      <c r="C176" s="48"/>
      <c r="D176" s="49"/>
      <c r="E176" s="243"/>
      <c r="F176" s="50"/>
    </row>
  </sheetData>
  <mergeCells count="37">
    <mergeCell ref="B2:B10"/>
    <mergeCell ref="B12:B15"/>
    <mergeCell ref="B17:B19"/>
    <mergeCell ref="B21:B29"/>
    <mergeCell ref="B31:B37"/>
    <mergeCell ref="B39:B50"/>
    <mergeCell ref="B52:B56"/>
    <mergeCell ref="B58:B59"/>
    <mergeCell ref="B61:B62"/>
    <mergeCell ref="B64:B72"/>
    <mergeCell ref="B74:B83"/>
    <mergeCell ref="B85:B87"/>
    <mergeCell ref="B89:B91"/>
    <mergeCell ref="B93:B101"/>
    <mergeCell ref="B103:B105"/>
    <mergeCell ref="B107:B109"/>
    <mergeCell ref="B110:B112"/>
    <mergeCell ref="B114:B122"/>
    <mergeCell ref="B124:B126"/>
    <mergeCell ref="B128:B131"/>
    <mergeCell ref="B168:B176"/>
    <mergeCell ref="B133:B136"/>
    <mergeCell ref="B138:B140"/>
    <mergeCell ref="B142:B150"/>
    <mergeCell ref="B152:B162"/>
    <mergeCell ref="B164:B166"/>
    <mergeCell ref="E168:E176"/>
    <mergeCell ref="F2:F10"/>
    <mergeCell ref="F12:F15"/>
    <mergeCell ref="F21:F29"/>
    <mergeCell ref="F31:F37"/>
    <mergeCell ref="F39:F50"/>
    <mergeCell ref="F52:F56"/>
    <mergeCell ref="F58:F59"/>
    <mergeCell ref="F64:F72"/>
    <mergeCell ref="F124:F126"/>
    <mergeCell ref="F138:F140"/>
  </mergeCells>
  <phoneticPr fontId="39" type="noConversion"/>
  <pageMargins left="0.75" right="0.75" top="1" bottom="1" header="0.5" footer="0.5"/>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6"/>
  <sheetViews>
    <sheetView workbookViewId="0">
      <selection activeCell="K24" sqref="K24"/>
    </sheetView>
  </sheetViews>
  <sheetFormatPr baseColWidth="10" defaultColWidth="9" defaultRowHeight="15"/>
  <cols>
    <col min="1" max="1" width="28" customWidth="1"/>
    <col min="2" max="2" width="8.6640625" customWidth="1"/>
    <col min="3" max="3" width="35.83203125" customWidth="1"/>
    <col min="4" max="4" width="16" customWidth="1"/>
    <col min="5" max="5" width="28.33203125" customWidth="1"/>
    <col min="6" max="6" width="13.33203125" customWidth="1"/>
    <col min="7" max="7" width="17.6640625" customWidth="1"/>
  </cols>
  <sheetData>
    <row r="1" spans="1:8" ht="20">
      <c r="A1" s="289" t="s">
        <v>249</v>
      </c>
      <c r="B1" s="289"/>
      <c r="C1" s="289"/>
      <c r="D1" s="290"/>
      <c r="E1" s="289"/>
      <c r="F1" s="289"/>
      <c r="G1" s="289"/>
    </row>
    <row r="2" spans="1:8" ht="20">
      <c r="A2" s="289" t="s">
        <v>250</v>
      </c>
      <c r="B2" s="291"/>
      <c r="C2" s="291"/>
      <c r="D2" s="292"/>
      <c r="E2" s="291"/>
      <c r="F2" s="291"/>
      <c r="G2" s="291"/>
    </row>
    <row r="3" spans="1:8" ht="20">
      <c r="A3" s="289" t="s">
        <v>251</v>
      </c>
      <c r="B3" s="291"/>
      <c r="C3" s="291"/>
      <c r="D3" s="292"/>
      <c r="E3" s="291"/>
      <c r="F3" s="291"/>
      <c r="G3" s="291"/>
    </row>
    <row r="4" spans="1:8" ht="119">
      <c r="A4" s="6"/>
      <c r="B4" s="293" t="s">
        <v>252</v>
      </c>
      <c r="C4" s="294"/>
      <c r="D4" s="295"/>
      <c r="E4" s="7" t="s">
        <v>253</v>
      </c>
      <c r="F4" s="8" t="s">
        <v>254</v>
      </c>
      <c r="G4" s="8" t="s">
        <v>255</v>
      </c>
    </row>
    <row r="5" spans="1:8">
      <c r="A5" s="281" t="s">
        <v>256</v>
      </c>
      <c r="B5" s="9" t="s">
        <v>257</v>
      </c>
      <c r="C5" s="9" t="s">
        <v>258</v>
      </c>
      <c r="D5" s="9" t="s">
        <v>259</v>
      </c>
      <c r="E5" s="9">
        <v>10100</v>
      </c>
      <c r="F5" s="10" t="s">
        <v>260</v>
      </c>
      <c r="G5" s="286" t="s">
        <v>261</v>
      </c>
      <c r="H5" t="s">
        <v>328</v>
      </c>
    </row>
    <row r="6" spans="1:8">
      <c r="A6" s="282"/>
      <c r="B6" s="9" t="s">
        <v>257</v>
      </c>
      <c r="C6" s="9" t="s">
        <v>262</v>
      </c>
      <c r="D6" s="9" t="s">
        <v>263</v>
      </c>
      <c r="E6" s="9">
        <v>10400</v>
      </c>
      <c r="F6" s="10" t="s">
        <v>264</v>
      </c>
      <c r="G6" s="286"/>
      <c r="H6" t="s">
        <v>328</v>
      </c>
    </row>
    <row r="7" spans="1:8">
      <c r="A7" s="282"/>
      <c r="B7" s="9" t="s">
        <v>257</v>
      </c>
      <c r="C7" s="9" t="s">
        <v>265</v>
      </c>
      <c r="D7" s="9" t="s">
        <v>266</v>
      </c>
      <c r="E7" s="9">
        <v>8500</v>
      </c>
      <c r="F7" s="10" t="s">
        <v>260</v>
      </c>
      <c r="G7" s="286"/>
      <c r="H7" t="s">
        <v>328</v>
      </c>
    </row>
    <row r="8" spans="1:8">
      <c r="A8" s="282"/>
      <c r="B8" s="9" t="s">
        <v>267</v>
      </c>
      <c r="C8" s="9" t="s">
        <v>268</v>
      </c>
      <c r="D8" s="9" t="s">
        <v>269</v>
      </c>
      <c r="E8" s="9">
        <v>10800</v>
      </c>
      <c r="F8" s="10" t="s">
        <v>264</v>
      </c>
      <c r="G8" s="286"/>
      <c r="H8" t="s">
        <v>328</v>
      </c>
    </row>
    <row r="9" spans="1:8">
      <c r="A9" s="282"/>
      <c r="B9" s="9" t="s">
        <v>257</v>
      </c>
      <c r="C9" s="9" t="s">
        <v>270</v>
      </c>
      <c r="D9" s="11" t="s">
        <v>271</v>
      </c>
      <c r="E9" s="9">
        <v>9000</v>
      </c>
      <c r="F9" s="10" t="s">
        <v>260</v>
      </c>
      <c r="G9" s="286"/>
      <c r="H9" t="s">
        <v>328</v>
      </c>
    </row>
    <row r="10" spans="1:8" ht="16">
      <c r="A10" s="282"/>
      <c r="B10" s="12" t="s">
        <v>257</v>
      </c>
      <c r="C10" s="9" t="s">
        <v>272</v>
      </c>
      <c r="D10" s="11" t="s">
        <v>273</v>
      </c>
      <c r="E10" s="9">
        <v>9800</v>
      </c>
      <c r="F10" s="10" t="s">
        <v>260</v>
      </c>
      <c r="G10" s="286"/>
      <c r="H10" t="s">
        <v>328</v>
      </c>
    </row>
    <row r="11" spans="1:8" ht="16">
      <c r="A11" s="282"/>
      <c r="B11" s="12" t="s">
        <v>257</v>
      </c>
      <c r="C11" s="9" t="s">
        <v>274</v>
      </c>
      <c r="D11" s="11" t="s">
        <v>275</v>
      </c>
      <c r="E11" s="9">
        <v>8300</v>
      </c>
      <c r="F11" s="10" t="s">
        <v>276</v>
      </c>
      <c r="G11" s="286"/>
      <c r="H11" t="s">
        <v>328</v>
      </c>
    </row>
    <row r="12" spans="1:8">
      <c r="A12" s="282"/>
      <c r="B12" s="9" t="s">
        <v>257</v>
      </c>
      <c r="C12" s="11" t="s">
        <v>277</v>
      </c>
      <c r="D12" s="11" t="s">
        <v>278</v>
      </c>
      <c r="E12" s="9">
        <v>7800</v>
      </c>
      <c r="F12" s="10" t="s">
        <v>276</v>
      </c>
      <c r="G12" s="286"/>
      <c r="H12" t="s">
        <v>328</v>
      </c>
    </row>
    <row r="13" spans="1:8" ht="16">
      <c r="A13" s="282"/>
      <c r="B13" s="12" t="s">
        <v>257</v>
      </c>
      <c r="C13" s="9" t="s">
        <v>279</v>
      </c>
      <c r="D13" s="11" t="s">
        <v>280</v>
      </c>
      <c r="E13" s="9">
        <v>8500</v>
      </c>
      <c r="F13" s="10" t="s">
        <v>276</v>
      </c>
      <c r="G13" s="286"/>
      <c r="H13" t="s">
        <v>328</v>
      </c>
    </row>
    <row r="14" spans="1:8" ht="16">
      <c r="A14" s="283" t="s">
        <v>281</v>
      </c>
      <c r="B14" s="13" t="s">
        <v>257</v>
      </c>
      <c r="C14" s="14" t="s">
        <v>258</v>
      </c>
      <c r="D14" s="15" t="s">
        <v>259</v>
      </c>
      <c r="E14" s="14">
        <v>10100</v>
      </c>
      <c r="F14" s="14" t="s">
        <v>260</v>
      </c>
      <c r="G14" s="287" t="s">
        <v>261</v>
      </c>
      <c r="H14" t="s">
        <v>136</v>
      </c>
    </row>
    <row r="15" spans="1:8" ht="16">
      <c r="A15" s="284"/>
      <c r="B15" s="13" t="s">
        <v>257</v>
      </c>
      <c r="C15" s="14" t="s">
        <v>262</v>
      </c>
      <c r="D15" s="15" t="s">
        <v>263</v>
      </c>
      <c r="E15" s="14">
        <v>10400</v>
      </c>
      <c r="F15" s="14" t="s">
        <v>260</v>
      </c>
      <c r="G15" s="284"/>
      <c r="H15" t="s">
        <v>136</v>
      </c>
    </row>
    <row r="16" spans="1:8" ht="16">
      <c r="A16" s="284"/>
      <c r="B16" s="13" t="s">
        <v>257</v>
      </c>
      <c r="C16" s="14" t="s">
        <v>265</v>
      </c>
      <c r="D16" s="15" t="s">
        <v>266</v>
      </c>
      <c r="E16" s="14">
        <v>8500</v>
      </c>
      <c r="F16" s="14" t="s">
        <v>260</v>
      </c>
      <c r="G16" s="284"/>
      <c r="H16" t="s">
        <v>136</v>
      </c>
    </row>
    <row r="17" spans="1:8" ht="16">
      <c r="A17" s="284"/>
      <c r="B17" s="13" t="s">
        <v>267</v>
      </c>
      <c r="C17" s="14" t="s">
        <v>268</v>
      </c>
      <c r="D17" s="15" t="s">
        <v>269</v>
      </c>
      <c r="E17" s="14">
        <v>10800</v>
      </c>
      <c r="F17" s="14" t="s">
        <v>264</v>
      </c>
      <c r="G17" s="284"/>
      <c r="H17" t="s">
        <v>136</v>
      </c>
    </row>
    <row r="18" spans="1:8">
      <c r="A18" s="284"/>
      <c r="B18" s="14" t="s">
        <v>257</v>
      </c>
      <c r="C18" s="14" t="s">
        <v>270</v>
      </c>
      <c r="D18" s="15" t="s">
        <v>271</v>
      </c>
      <c r="E18" s="14">
        <v>9000</v>
      </c>
      <c r="F18" s="14" t="s">
        <v>260</v>
      </c>
      <c r="G18" s="284"/>
      <c r="H18" t="s">
        <v>136</v>
      </c>
    </row>
    <row r="19" spans="1:8" ht="16">
      <c r="A19" s="284"/>
      <c r="B19" s="13" t="s">
        <v>257</v>
      </c>
      <c r="C19" s="14" t="s">
        <v>272</v>
      </c>
      <c r="D19" s="15" t="s">
        <v>273</v>
      </c>
      <c r="E19" s="14">
        <v>9800</v>
      </c>
      <c r="F19" s="16" t="s">
        <v>260</v>
      </c>
      <c r="G19" s="284"/>
      <c r="H19" t="s">
        <v>136</v>
      </c>
    </row>
    <row r="20" spans="1:8" ht="16">
      <c r="A20" s="284"/>
      <c r="B20" s="13" t="s">
        <v>257</v>
      </c>
      <c r="C20" s="14" t="s">
        <v>274</v>
      </c>
      <c r="D20" s="15" t="s">
        <v>275</v>
      </c>
      <c r="E20" s="14">
        <v>8300</v>
      </c>
      <c r="F20" s="16" t="s">
        <v>276</v>
      </c>
      <c r="G20" s="284"/>
      <c r="H20" t="s">
        <v>136</v>
      </c>
    </row>
    <row r="21" spans="1:8">
      <c r="A21" s="284"/>
      <c r="B21" s="14" t="s">
        <v>257</v>
      </c>
      <c r="C21" s="17" t="s">
        <v>277</v>
      </c>
      <c r="D21" s="15" t="s">
        <v>278</v>
      </c>
      <c r="E21" s="14">
        <v>7800</v>
      </c>
      <c r="F21" s="16" t="s">
        <v>276</v>
      </c>
      <c r="G21" s="284"/>
      <c r="H21" t="s">
        <v>136</v>
      </c>
    </row>
    <row r="22" spans="1:8" ht="16">
      <c r="A22" s="285"/>
      <c r="B22" s="13" t="s">
        <v>257</v>
      </c>
      <c r="C22" s="14" t="s">
        <v>279</v>
      </c>
      <c r="D22" s="15" t="s">
        <v>280</v>
      </c>
      <c r="E22" s="14">
        <v>8500</v>
      </c>
      <c r="F22" s="16" t="s">
        <v>276</v>
      </c>
      <c r="G22" s="285"/>
      <c r="H22" t="s">
        <v>136</v>
      </c>
    </row>
    <row r="23" spans="1:8">
      <c r="A23" s="281" t="s">
        <v>282</v>
      </c>
      <c r="B23" s="9" t="s">
        <v>257</v>
      </c>
      <c r="C23" s="9" t="s">
        <v>258</v>
      </c>
      <c r="D23" s="9" t="s">
        <v>259</v>
      </c>
      <c r="E23" s="9">
        <v>9500</v>
      </c>
      <c r="F23" s="10" t="s">
        <v>260</v>
      </c>
      <c r="G23" s="288" t="s">
        <v>261</v>
      </c>
      <c r="H23" t="s">
        <v>157</v>
      </c>
    </row>
    <row r="24" spans="1:8">
      <c r="A24" s="282"/>
      <c r="B24" s="9" t="s">
        <v>257</v>
      </c>
      <c r="C24" s="9" t="s">
        <v>262</v>
      </c>
      <c r="D24" s="9" t="s">
        <v>263</v>
      </c>
      <c r="E24" s="9">
        <v>9800</v>
      </c>
      <c r="F24" s="10" t="s">
        <v>264</v>
      </c>
      <c r="G24" s="288"/>
      <c r="H24" t="s">
        <v>157</v>
      </c>
    </row>
    <row r="25" spans="1:8">
      <c r="A25" s="282"/>
      <c r="B25" s="9" t="s">
        <v>257</v>
      </c>
      <c r="C25" s="9" t="s">
        <v>265</v>
      </c>
      <c r="D25" s="9" t="s">
        <v>266</v>
      </c>
      <c r="E25" s="9">
        <v>7900</v>
      </c>
      <c r="F25" s="10" t="s">
        <v>260</v>
      </c>
      <c r="G25" s="288"/>
      <c r="H25" t="s">
        <v>157</v>
      </c>
    </row>
    <row r="26" spans="1:8">
      <c r="A26" s="282"/>
      <c r="B26" s="9" t="s">
        <v>267</v>
      </c>
      <c r="C26" s="9" t="s">
        <v>268</v>
      </c>
      <c r="D26" s="9" t="s">
        <v>269</v>
      </c>
      <c r="E26" s="9">
        <v>10200</v>
      </c>
      <c r="F26" s="10" t="s">
        <v>264</v>
      </c>
      <c r="G26" s="288"/>
      <c r="H26" t="s">
        <v>157</v>
      </c>
    </row>
    <row r="27" spans="1:8">
      <c r="A27" s="282"/>
      <c r="B27" s="9" t="s">
        <v>257</v>
      </c>
      <c r="C27" s="9" t="s">
        <v>270</v>
      </c>
      <c r="D27" s="11" t="s">
        <v>271</v>
      </c>
      <c r="E27" s="9">
        <v>8400</v>
      </c>
      <c r="F27" s="10" t="s">
        <v>260</v>
      </c>
      <c r="G27" s="288"/>
      <c r="H27" t="s">
        <v>157</v>
      </c>
    </row>
    <row r="28" spans="1:8" ht="16">
      <c r="A28" s="282"/>
      <c r="B28" s="12" t="s">
        <v>257</v>
      </c>
      <c r="C28" s="9" t="s">
        <v>272</v>
      </c>
      <c r="D28" s="11" t="s">
        <v>273</v>
      </c>
      <c r="E28" s="9">
        <v>9200</v>
      </c>
      <c r="F28" s="10" t="s">
        <v>260</v>
      </c>
      <c r="G28" s="288"/>
      <c r="H28" t="s">
        <v>157</v>
      </c>
    </row>
    <row r="29" spans="1:8" ht="16">
      <c r="A29" s="282"/>
      <c r="B29" s="12" t="s">
        <v>257</v>
      </c>
      <c r="C29" s="9" t="s">
        <v>274</v>
      </c>
      <c r="D29" s="11" t="s">
        <v>275</v>
      </c>
      <c r="E29" s="9">
        <v>7700</v>
      </c>
      <c r="F29" s="10" t="s">
        <v>276</v>
      </c>
      <c r="G29" s="288"/>
      <c r="H29" t="s">
        <v>157</v>
      </c>
    </row>
    <row r="30" spans="1:8">
      <c r="A30" s="282"/>
      <c r="B30" s="9" t="s">
        <v>257</v>
      </c>
      <c r="C30" s="11" t="s">
        <v>277</v>
      </c>
      <c r="D30" s="11" t="s">
        <v>278</v>
      </c>
      <c r="E30" s="9">
        <v>7200</v>
      </c>
      <c r="F30" s="10" t="s">
        <v>276</v>
      </c>
      <c r="G30" s="288"/>
      <c r="H30" t="s">
        <v>157</v>
      </c>
    </row>
    <row r="31" spans="1:8" ht="16">
      <c r="A31" s="282"/>
      <c r="B31" s="12" t="s">
        <v>257</v>
      </c>
      <c r="C31" s="9" t="s">
        <v>279</v>
      </c>
      <c r="D31" s="11" t="s">
        <v>280</v>
      </c>
      <c r="E31" s="9">
        <v>7900</v>
      </c>
      <c r="F31" s="10" t="s">
        <v>276</v>
      </c>
      <c r="G31" s="288"/>
      <c r="H31" t="s">
        <v>157</v>
      </c>
    </row>
    <row r="32" spans="1:8" ht="16">
      <c r="A32" s="283" t="s">
        <v>283</v>
      </c>
      <c r="B32" s="13" t="s">
        <v>257</v>
      </c>
      <c r="C32" s="14" t="s">
        <v>258</v>
      </c>
      <c r="D32" s="15" t="s">
        <v>259</v>
      </c>
      <c r="E32" s="14">
        <v>9400</v>
      </c>
      <c r="F32" s="14" t="s">
        <v>260</v>
      </c>
      <c r="G32" s="287" t="s">
        <v>261</v>
      </c>
      <c r="H32" t="s">
        <v>172</v>
      </c>
    </row>
    <row r="33" spans="1:8" ht="16">
      <c r="A33" s="284"/>
      <c r="B33" s="13" t="s">
        <v>257</v>
      </c>
      <c r="C33" s="14" t="s">
        <v>262</v>
      </c>
      <c r="D33" s="15" t="s">
        <v>263</v>
      </c>
      <c r="E33" s="14">
        <v>9700</v>
      </c>
      <c r="F33" s="14" t="s">
        <v>260</v>
      </c>
      <c r="G33" s="284"/>
      <c r="H33" t="s">
        <v>172</v>
      </c>
    </row>
    <row r="34" spans="1:8" ht="16">
      <c r="A34" s="284"/>
      <c r="B34" s="13" t="s">
        <v>257</v>
      </c>
      <c r="C34" s="14" t="s">
        <v>265</v>
      </c>
      <c r="D34" s="15" t="s">
        <v>266</v>
      </c>
      <c r="E34" s="14">
        <v>7800</v>
      </c>
      <c r="F34" s="14" t="s">
        <v>260</v>
      </c>
      <c r="G34" s="284"/>
      <c r="H34" t="s">
        <v>172</v>
      </c>
    </row>
    <row r="35" spans="1:8" ht="16">
      <c r="A35" s="284"/>
      <c r="B35" s="13" t="s">
        <v>267</v>
      </c>
      <c r="C35" s="14" t="s">
        <v>268</v>
      </c>
      <c r="D35" s="15" t="s">
        <v>269</v>
      </c>
      <c r="E35" s="14">
        <v>10100</v>
      </c>
      <c r="F35" s="14" t="s">
        <v>264</v>
      </c>
      <c r="G35" s="284"/>
      <c r="H35" t="s">
        <v>172</v>
      </c>
    </row>
    <row r="36" spans="1:8">
      <c r="A36" s="284"/>
      <c r="B36" s="14" t="s">
        <v>257</v>
      </c>
      <c r="C36" s="14" t="s">
        <v>270</v>
      </c>
      <c r="D36" s="15" t="s">
        <v>271</v>
      </c>
      <c r="E36" s="14">
        <v>8300</v>
      </c>
      <c r="F36" s="14" t="s">
        <v>260</v>
      </c>
      <c r="G36" s="284"/>
      <c r="H36" t="s">
        <v>172</v>
      </c>
    </row>
    <row r="37" spans="1:8" ht="16">
      <c r="A37" s="284"/>
      <c r="B37" s="13" t="s">
        <v>257</v>
      </c>
      <c r="C37" s="14" t="s">
        <v>272</v>
      </c>
      <c r="D37" s="15" t="s">
        <v>273</v>
      </c>
      <c r="E37" s="14">
        <v>9100</v>
      </c>
      <c r="F37" s="16" t="s">
        <v>260</v>
      </c>
      <c r="G37" s="284"/>
      <c r="H37" t="s">
        <v>172</v>
      </c>
    </row>
    <row r="38" spans="1:8" ht="16">
      <c r="A38" s="284"/>
      <c r="B38" s="13" t="s">
        <v>257</v>
      </c>
      <c r="C38" s="14" t="s">
        <v>274</v>
      </c>
      <c r="D38" s="15" t="s">
        <v>275</v>
      </c>
      <c r="E38" s="14">
        <v>7600</v>
      </c>
      <c r="F38" s="16" t="s">
        <v>276</v>
      </c>
      <c r="G38" s="284"/>
      <c r="H38" t="s">
        <v>172</v>
      </c>
    </row>
    <row r="39" spans="1:8">
      <c r="A39" s="284"/>
      <c r="B39" s="14" t="s">
        <v>257</v>
      </c>
      <c r="C39" s="17" t="s">
        <v>277</v>
      </c>
      <c r="D39" s="15" t="s">
        <v>278</v>
      </c>
      <c r="E39" s="14">
        <v>7100</v>
      </c>
      <c r="F39" s="16" t="s">
        <v>276</v>
      </c>
      <c r="G39" s="284"/>
      <c r="H39" t="s">
        <v>172</v>
      </c>
    </row>
    <row r="40" spans="1:8" ht="16">
      <c r="A40" s="285"/>
      <c r="B40" s="13" t="s">
        <v>257</v>
      </c>
      <c r="C40" s="14" t="s">
        <v>279</v>
      </c>
      <c r="D40" s="15" t="s">
        <v>280</v>
      </c>
      <c r="E40" s="14">
        <v>7800</v>
      </c>
      <c r="F40" s="16" t="s">
        <v>276</v>
      </c>
      <c r="G40" s="285"/>
      <c r="H40" t="s">
        <v>172</v>
      </c>
    </row>
    <row r="41" spans="1:8">
      <c r="A41" s="281" t="s">
        <v>284</v>
      </c>
      <c r="B41" s="9" t="s">
        <v>257</v>
      </c>
      <c r="C41" s="9" t="s">
        <v>258</v>
      </c>
      <c r="D41" s="9" t="s">
        <v>259</v>
      </c>
      <c r="E41" s="9">
        <v>9000</v>
      </c>
      <c r="F41" s="10" t="s">
        <v>260</v>
      </c>
      <c r="G41" s="288" t="s">
        <v>261</v>
      </c>
      <c r="H41" t="s">
        <v>149</v>
      </c>
    </row>
    <row r="42" spans="1:8">
      <c r="A42" s="282"/>
      <c r="B42" s="9" t="s">
        <v>257</v>
      </c>
      <c r="C42" s="9" t="s">
        <v>262</v>
      </c>
      <c r="D42" s="9" t="s">
        <v>263</v>
      </c>
      <c r="E42" s="9">
        <v>9300</v>
      </c>
      <c r="F42" s="10" t="s">
        <v>264</v>
      </c>
      <c r="G42" s="288"/>
      <c r="H42" t="s">
        <v>149</v>
      </c>
    </row>
    <row r="43" spans="1:8">
      <c r="A43" s="282"/>
      <c r="B43" s="9" t="s">
        <v>257</v>
      </c>
      <c r="C43" s="9" t="s">
        <v>265</v>
      </c>
      <c r="D43" s="9" t="s">
        <v>266</v>
      </c>
      <c r="E43" s="9">
        <v>7400</v>
      </c>
      <c r="F43" s="10" t="s">
        <v>260</v>
      </c>
      <c r="G43" s="288"/>
      <c r="H43" t="s">
        <v>149</v>
      </c>
    </row>
    <row r="44" spans="1:8">
      <c r="A44" s="282"/>
      <c r="B44" s="9" t="s">
        <v>267</v>
      </c>
      <c r="C44" s="9" t="s">
        <v>268</v>
      </c>
      <c r="D44" s="9" t="s">
        <v>269</v>
      </c>
      <c r="E44" s="9">
        <v>9700</v>
      </c>
      <c r="F44" s="10" t="s">
        <v>264</v>
      </c>
      <c r="G44" s="288"/>
      <c r="H44" t="s">
        <v>149</v>
      </c>
    </row>
    <row r="45" spans="1:8">
      <c r="A45" s="282"/>
      <c r="B45" s="9" t="s">
        <v>257</v>
      </c>
      <c r="C45" s="9" t="s">
        <v>270</v>
      </c>
      <c r="D45" s="11" t="s">
        <v>271</v>
      </c>
      <c r="E45" s="9">
        <v>7900</v>
      </c>
      <c r="F45" s="10" t="s">
        <v>260</v>
      </c>
      <c r="G45" s="288"/>
      <c r="H45" t="s">
        <v>149</v>
      </c>
    </row>
    <row r="46" spans="1:8" ht="16">
      <c r="A46" s="282"/>
      <c r="B46" s="12" t="s">
        <v>257</v>
      </c>
      <c r="C46" s="9" t="s">
        <v>272</v>
      </c>
      <c r="D46" s="11" t="s">
        <v>273</v>
      </c>
      <c r="E46" s="9">
        <v>8700</v>
      </c>
      <c r="F46" s="10" t="s">
        <v>260</v>
      </c>
      <c r="G46" s="288"/>
      <c r="H46" t="s">
        <v>149</v>
      </c>
    </row>
    <row r="47" spans="1:8" ht="16">
      <c r="A47" s="282"/>
      <c r="B47" s="12" t="s">
        <v>257</v>
      </c>
      <c r="C47" s="9" t="s">
        <v>274</v>
      </c>
      <c r="D47" s="11" t="s">
        <v>275</v>
      </c>
      <c r="E47" s="9">
        <v>7200</v>
      </c>
      <c r="F47" s="10" t="s">
        <v>276</v>
      </c>
      <c r="G47" s="288"/>
      <c r="H47" t="s">
        <v>149</v>
      </c>
    </row>
    <row r="48" spans="1:8">
      <c r="A48" s="282"/>
      <c r="B48" s="9" t="s">
        <v>257</v>
      </c>
      <c r="C48" s="11" t="s">
        <v>277</v>
      </c>
      <c r="D48" s="11" t="s">
        <v>278</v>
      </c>
      <c r="E48" s="9">
        <v>6700</v>
      </c>
      <c r="F48" s="10" t="s">
        <v>276</v>
      </c>
      <c r="G48" s="288"/>
      <c r="H48" t="s">
        <v>149</v>
      </c>
    </row>
    <row r="49" spans="1:8" ht="16">
      <c r="A49" s="282"/>
      <c r="B49" s="12" t="s">
        <v>257</v>
      </c>
      <c r="C49" s="9" t="s">
        <v>279</v>
      </c>
      <c r="D49" s="11" t="s">
        <v>280</v>
      </c>
      <c r="E49" s="9">
        <v>7400</v>
      </c>
      <c r="F49" s="10" t="s">
        <v>276</v>
      </c>
      <c r="G49" s="288"/>
      <c r="H49" t="s">
        <v>149</v>
      </c>
    </row>
    <row r="50" spans="1:8" ht="16">
      <c r="A50" s="283" t="s">
        <v>285</v>
      </c>
      <c r="B50" s="13" t="s">
        <v>257</v>
      </c>
      <c r="C50" s="14" t="s">
        <v>258</v>
      </c>
      <c r="D50" s="15" t="s">
        <v>259</v>
      </c>
      <c r="E50" s="14">
        <v>8700</v>
      </c>
      <c r="F50" s="14" t="s">
        <v>260</v>
      </c>
      <c r="G50" s="287" t="s">
        <v>261</v>
      </c>
      <c r="H50" t="s">
        <v>148</v>
      </c>
    </row>
    <row r="51" spans="1:8" ht="16">
      <c r="A51" s="284"/>
      <c r="B51" s="13" t="s">
        <v>257</v>
      </c>
      <c r="C51" s="14" t="s">
        <v>262</v>
      </c>
      <c r="D51" s="15" t="s">
        <v>263</v>
      </c>
      <c r="E51" s="14">
        <v>9000</v>
      </c>
      <c r="F51" s="14" t="s">
        <v>260</v>
      </c>
      <c r="G51" s="284"/>
      <c r="H51" t="s">
        <v>148</v>
      </c>
    </row>
    <row r="52" spans="1:8" ht="16">
      <c r="A52" s="284"/>
      <c r="B52" s="13" t="s">
        <v>257</v>
      </c>
      <c r="C52" s="14" t="s">
        <v>265</v>
      </c>
      <c r="D52" s="15" t="s">
        <v>266</v>
      </c>
      <c r="E52" s="14">
        <v>7100</v>
      </c>
      <c r="F52" s="14" t="s">
        <v>260</v>
      </c>
      <c r="G52" s="284"/>
      <c r="H52" t="s">
        <v>148</v>
      </c>
    </row>
    <row r="53" spans="1:8" ht="16">
      <c r="A53" s="284"/>
      <c r="B53" s="13" t="s">
        <v>267</v>
      </c>
      <c r="C53" s="14" t="s">
        <v>268</v>
      </c>
      <c r="D53" s="15" t="s">
        <v>269</v>
      </c>
      <c r="E53" s="14">
        <v>9400</v>
      </c>
      <c r="F53" s="14" t="s">
        <v>264</v>
      </c>
      <c r="G53" s="284"/>
      <c r="H53" t="s">
        <v>148</v>
      </c>
    </row>
    <row r="54" spans="1:8">
      <c r="A54" s="284"/>
      <c r="B54" s="14" t="s">
        <v>257</v>
      </c>
      <c r="C54" s="14" t="s">
        <v>270</v>
      </c>
      <c r="D54" s="15" t="s">
        <v>271</v>
      </c>
      <c r="E54" s="14">
        <v>7600</v>
      </c>
      <c r="F54" s="14" t="s">
        <v>260</v>
      </c>
      <c r="G54" s="284"/>
      <c r="H54" t="s">
        <v>148</v>
      </c>
    </row>
    <row r="55" spans="1:8" ht="16">
      <c r="A55" s="284"/>
      <c r="B55" s="13" t="s">
        <v>257</v>
      </c>
      <c r="C55" s="14" t="s">
        <v>272</v>
      </c>
      <c r="D55" s="15" t="s">
        <v>273</v>
      </c>
      <c r="E55" s="14">
        <v>8400</v>
      </c>
      <c r="F55" s="16" t="s">
        <v>260</v>
      </c>
      <c r="G55" s="284"/>
      <c r="H55" t="s">
        <v>148</v>
      </c>
    </row>
    <row r="56" spans="1:8" ht="16">
      <c r="A56" s="284"/>
      <c r="B56" s="13" t="s">
        <v>257</v>
      </c>
      <c r="C56" s="14" t="s">
        <v>274</v>
      </c>
      <c r="D56" s="15" t="s">
        <v>275</v>
      </c>
      <c r="E56" s="14">
        <v>6900</v>
      </c>
      <c r="F56" s="16" t="s">
        <v>276</v>
      </c>
      <c r="G56" s="284"/>
      <c r="H56" t="s">
        <v>148</v>
      </c>
    </row>
    <row r="57" spans="1:8">
      <c r="A57" s="284"/>
      <c r="B57" s="14" t="s">
        <v>257</v>
      </c>
      <c r="C57" s="17" t="s">
        <v>277</v>
      </c>
      <c r="D57" s="15" t="s">
        <v>278</v>
      </c>
      <c r="E57" s="14">
        <v>6400</v>
      </c>
      <c r="F57" s="16" t="s">
        <v>276</v>
      </c>
      <c r="G57" s="284"/>
      <c r="H57" t="s">
        <v>148</v>
      </c>
    </row>
    <row r="58" spans="1:8" ht="16">
      <c r="A58" s="285"/>
      <c r="B58" s="13" t="s">
        <v>257</v>
      </c>
      <c r="C58" s="14" t="s">
        <v>279</v>
      </c>
      <c r="D58" s="15" t="s">
        <v>280</v>
      </c>
      <c r="E58" s="14">
        <v>7100</v>
      </c>
      <c r="F58" s="16" t="s">
        <v>276</v>
      </c>
      <c r="G58" s="285"/>
      <c r="H58" t="s">
        <v>148</v>
      </c>
    </row>
    <row r="59" spans="1:8">
      <c r="A59" s="281" t="s">
        <v>286</v>
      </c>
      <c r="B59" s="9" t="s">
        <v>257</v>
      </c>
      <c r="C59" s="9" t="s">
        <v>258</v>
      </c>
      <c r="D59" s="9" t="s">
        <v>259</v>
      </c>
      <c r="E59" s="9">
        <v>9000</v>
      </c>
      <c r="F59" s="10" t="s">
        <v>260</v>
      </c>
      <c r="G59" s="288" t="s">
        <v>261</v>
      </c>
      <c r="H59" t="s">
        <v>182</v>
      </c>
    </row>
    <row r="60" spans="1:8">
      <c r="A60" s="282"/>
      <c r="B60" s="9" t="s">
        <v>257</v>
      </c>
      <c r="C60" s="9" t="s">
        <v>262</v>
      </c>
      <c r="D60" s="9" t="s">
        <v>263</v>
      </c>
      <c r="E60" s="9">
        <v>9300</v>
      </c>
      <c r="F60" s="10" t="s">
        <v>264</v>
      </c>
      <c r="G60" s="288"/>
      <c r="H60" t="s">
        <v>182</v>
      </c>
    </row>
    <row r="61" spans="1:8">
      <c r="A61" s="282"/>
      <c r="B61" s="9" t="s">
        <v>257</v>
      </c>
      <c r="C61" s="9" t="s">
        <v>265</v>
      </c>
      <c r="D61" s="9" t="s">
        <v>266</v>
      </c>
      <c r="E61" s="9">
        <v>7400</v>
      </c>
      <c r="F61" s="10" t="s">
        <v>260</v>
      </c>
      <c r="G61" s="288"/>
      <c r="H61" t="s">
        <v>182</v>
      </c>
    </row>
    <row r="62" spans="1:8">
      <c r="A62" s="282"/>
      <c r="B62" s="9" t="s">
        <v>267</v>
      </c>
      <c r="C62" s="9" t="s">
        <v>268</v>
      </c>
      <c r="D62" s="9" t="s">
        <v>269</v>
      </c>
      <c r="E62" s="9">
        <v>9700</v>
      </c>
      <c r="F62" s="10" t="s">
        <v>264</v>
      </c>
      <c r="G62" s="288"/>
      <c r="H62" t="s">
        <v>182</v>
      </c>
    </row>
    <row r="63" spans="1:8">
      <c r="A63" s="282"/>
      <c r="B63" s="9" t="s">
        <v>257</v>
      </c>
      <c r="C63" s="9" t="s">
        <v>270</v>
      </c>
      <c r="D63" s="11" t="s">
        <v>271</v>
      </c>
      <c r="E63" s="9">
        <v>7900</v>
      </c>
      <c r="F63" s="10" t="s">
        <v>260</v>
      </c>
      <c r="G63" s="288"/>
      <c r="H63" t="s">
        <v>182</v>
      </c>
    </row>
    <row r="64" spans="1:8" ht="16">
      <c r="A64" s="282"/>
      <c r="B64" s="12" t="s">
        <v>257</v>
      </c>
      <c r="C64" s="9" t="s">
        <v>272</v>
      </c>
      <c r="D64" s="11" t="s">
        <v>273</v>
      </c>
      <c r="E64" s="9">
        <v>8700</v>
      </c>
      <c r="F64" s="10" t="s">
        <v>260</v>
      </c>
      <c r="G64" s="288"/>
      <c r="H64" t="s">
        <v>182</v>
      </c>
    </row>
    <row r="65" spans="1:8" ht="16">
      <c r="A65" s="282"/>
      <c r="B65" s="12" t="s">
        <v>257</v>
      </c>
      <c r="C65" s="9" t="s">
        <v>274</v>
      </c>
      <c r="D65" s="11" t="s">
        <v>275</v>
      </c>
      <c r="E65" s="9">
        <v>7200</v>
      </c>
      <c r="F65" s="10" t="s">
        <v>276</v>
      </c>
      <c r="G65" s="288"/>
      <c r="H65" t="s">
        <v>182</v>
      </c>
    </row>
    <row r="66" spans="1:8">
      <c r="A66" s="282"/>
      <c r="B66" s="9" t="s">
        <v>257</v>
      </c>
      <c r="C66" s="11" t="s">
        <v>277</v>
      </c>
      <c r="D66" s="11" t="s">
        <v>278</v>
      </c>
      <c r="E66" s="9">
        <v>6700</v>
      </c>
      <c r="F66" s="10" t="s">
        <v>276</v>
      </c>
      <c r="G66" s="288"/>
      <c r="H66" t="s">
        <v>182</v>
      </c>
    </row>
    <row r="67" spans="1:8" ht="16">
      <c r="A67" s="282"/>
      <c r="B67" s="12" t="s">
        <v>257</v>
      </c>
      <c r="C67" s="9" t="s">
        <v>279</v>
      </c>
      <c r="D67" s="11" t="s">
        <v>280</v>
      </c>
      <c r="E67" s="9">
        <v>7400</v>
      </c>
      <c r="F67" s="10" t="s">
        <v>276</v>
      </c>
      <c r="G67" s="288"/>
      <c r="H67" t="s">
        <v>182</v>
      </c>
    </row>
    <row r="68" spans="1:8" ht="16">
      <c r="A68" s="283" t="s">
        <v>287</v>
      </c>
      <c r="B68" s="13" t="s">
        <v>257</v>
      </c>
      <c r="C68" s="14" t="s">
        <v>258</v>
      </c>
      <c r="D68" s="15" t="s">
        <v>259</v>
      </c>
      <c r="E68" s="14">
        <v>9600</v>
      </c>
      <c r="F68" s="14" t="s">
        <v>260</v>
      </c>
      <c r="G68" s="287" t="s">
        <v>261</v>
      </c>
      <c r="H68" t="s">
        <v>329</v>
      </c>
    </row>
    <row r="69" spans="1:8" ht="16">
      <c r="A69" s="284"/>
      <c r="B69" s="13" t="s">
        <v>257</v>
      </c>
      <c r="C69" s="14" t="s">
        <v>262</v>
      </c>
      <c r="D69" s="15" t="s">
        <v>263</v>
      </c>
      <c r="E69" s="14">
        <v>9900</v>
      </c>
      <c r="F69" s="14" t="s">
        <v>260</v>
      </c>
      <c r="G69" s="284"/>
      <c r="H69" t="s">
        <v>329</v>
      </c>
    </row>
    <row r="70" spans="1:8" ht="16">
      <c r="A70" s="284"/>
      <c r="B70" s="13" t="s">
        <v>257</v>
      </c>
      <c r="C70" s="14" t="s">
        <v>265</v>
      </c>
      <c r="D70" s="15" t="s">
        <v>266</v>
      </c>
      <c r="E70" s="14">
        <v>8000</v>
      </c>
      <c r="F70" s="14" t="s">
        <v>260</v>
      </c>
      <c r="G70" s="284"/>
      <c r="H70" t="s">
        <v>329</v>
      </c>
    </row>
    <row r="71" spans="1:8" ht="16">
      <c r="A71" s="284"/>
      <c r="B71" s="13" t="s">
        <v>267</v>
      </c>
      <c r="C71" s="14" t="s">
        <v>268</v>
      </c>
      <c r="D71" s="15" t="s">
        <v>269</v>
      </c>
      <c r="E71" s="14">
        <v>10300</v>
      </c>
      <c r="F71" s="14" t="s">
        <v>264</v>
      </c>
      <c r="G71" s="284"/>
      <c r="H71" t="s">
        <v>329</v>
      </c>
    </row>
    <row r="72" spans="1:8">
      <c r="A72" s="284"/>
      <c r="B72" s="14" t="s">
        <v>257</v>
      </c>
      <c r="C72" s="14" t="s">
        <v>270</v>
      </c>
      <c r="D72" s="15" t="s">
        <v>271</v>
      </c>
      <c r="E72" s="14">
        <v>8500</v>
      </c>
      <c r="F72" s="14" t="s">
        <v>260</v>
      </c>
      <c r="G72" s="284"/>
      <c r="H72" t="s">
        <v>329</v>
      </c>
    </row>
    <row r="73" spans="1:8" ht="16">
      <c r="A73" s="284"/>
      <c r="B73" s="13" t="s">
        <v>257</v>
      </c>
      <c r="C73" s="14" t="s">
        <v>272</v>
      </c>
      <c r="D73" s="15" t="s">
        <v>273</v>
      </c>
      <c r="E73" s="14">
        <v>9300</v>
      </c>
      <c r="F73" s="16" t="s">
        <v>260</v>
      </c>
      <c r="G73" s="284"/>
      <c r="H73" t="s">
        <v>329</v>
      </c>
    </row>
    <row r="74" spans="1:8" ht="16">
      <c r="A74" s="284"/>
      <c r="B74" s="13" t="s">
        <v>257</v>
      </c>
      <c r="C74" s="14" t="s">
        <v>274</v>
      </c>
      <c r="D74" s="15" t="s">
        <v>275</v>
      </c>
      <c r="E74" s="14">
        <v>7800</v>
      </c>
      <c r="F74" s="16" t="s">
        <v>276</v>
      </c>
      <c r="G74" s="284"/>
      <c r="H74" t="s">
        <v>329</v>
      </c>
    </row>
    <row r="75" spans="1:8">
      <c r="A75" s="284"/>
      <c r="B75" s="14" t="s">
        <v>257</v>
      </c>
      <c r="C75" s="17" t="s">
        <v>277</v>
      </c>
      <c r="D75" s="15" t="s">
        <v>278</v>
      </c>
      <c r="E75" s="14">
        <v>7300</v>
      </c>
      <c r="F75" s="16" t="s">
        <v>276</v>
      </c>
      <c r="G75" s="284"/>
      <c r="H75" t="s">
        <v>329</v>
      </c>
    </row>
    <row r="76" spans="1:8" ht="16">
      <c r="A76" s="285"/>
      <c r="B76" s="13" t="s">
        <v>257</v>
      </c>
      <c r="C76" s="14" t="s">
        <v>279</v>
      </c>
      <c r="D76" s="15" t="s">
        <v>280</v>
      </c>
      <c r="E76" s="14">
        <v>8000</v>
      </c>
      <c r="F76" s="16" t="s">
        <v>276</v>
      </c>
      <c r="G76" s="285"/>
      <c r="H76" t="s">
        <v>329</v>
      </c>
    </row>
    <row r="77" spans="1:8">
      <c r="A77" s="281" t="s">
        <v>288</v>
      </c>
      <c r="B77" s="9" t="s">
        <v>257</v>
      </c>
      <c r="C77" s="9" t="s">
        <v>258</v>
      </c>
      <c r="D77" s="9" t="s">
        <v>259</v>
      </c>
      <c r="E77" s="9">
        <v>9600</v>
      </c>
      <c r="F77" s="10" t="s">
        <v>260</v>
      </c>
      <c r="G77" s="288" t="s">
        <v>261</v>
      </c>
      <c r="H77" t="s">
        <v>160</v>
      </c>
    </row>
    <row r="78" spans="1:8">
      <c r="A78" s="282"/>
      <c r="B78" s="9" t="s">
        <v>257</v>
      </c>
      <c r="C78" s="9" t="s">
        <v>262</v>
      </c>
      <c r="D78" s="9" t="s">
        <v>263</v>
      </c>
      <c r="E78" s="9">
        <v>9900</v>
      </c>
      <c r="F78" s="10" t="s">
        <v>264</v>
      </c>
      <c r="G78" s="288"/>
      <c r="H78" t="s">
        <v>160</v>
      </c>
    </row>
    <row r="79" spans="1:8">
      <c r="A79" s="282"/>
      <c r="B79" s="9" t="s">
        <v>257</v>
      </c>
      <c r="C79" s="9" t="s">
        <v>265</v>
      </c>
      <c r="D79" s="9" t="s">
        <v>266</v>
      </c>
      <c r="E79" s="9">
        <v>8000</v>
      </c>
      <c r="F79" s="10" t="s">
        <v>260</v>
      </c>
      <c r="G79" s="288"/>
      <c r="H79" t="s">
        <v>160</v>
      </c>
    </row>
    <row r="80" spans="1:8">
      <c r="A80" s="282"/>
      <c r="B80" s="9" t="s">
        <v>267</v>
      </c>
      <c r="C80" s="9" t="s">
        <v>268</v>
      </c>
      <c r="D80" s="9" t="s">
        <v>269</v>
      </c>
      <c r="E80" s="9">
        <v>10300</v>
      </c>
      <c r="F80" s="10" t="s">
        <v>264</v>
      </c>
      <c r="G80" s="288"/>
      <c r="H80" t="s">
        <v>160</v>
      </c>
    </row>
    <row r="81" spans="1:8">
      <c r="A81" s="282"/>
      <c r="B81" s="9" t="s">
        <v>257</v>
      </c>
      <c r="C81" s="9" t="s">
        <v>270</v>
      </c>
      <c r="D81" s="11" t="s">
        <v>271</v>
      </c>
      <c r="E81" s="9">
        <v>8500</v>
      </c>
      <c r="F81" s="10" t="s">
        <v>260</v>
      </c>
      <c r="G81" s="288"/>
      <c r="H81" t="s">
        <v>160</v>
      </c>
    </row>
    <row r="82" spans="1:8" ht="16">
      <c r="A82" s="282"/>
      <c r="B82" s="12" t="s">
        <v>257</v>
      </c>
      <c r="C82" s="9" t="s">
        <v>272</v>
      </c>
      <c r="D82" s="11" t="s">
        <v>273</v>
      </c>
      <c r="E82" s="9">
        <v>9300</v>
      </c>
      <c r="F82" s="10" t="s">
        <v>260</v>
      </c>
      <c r="G82" s="288"/>
      <c r="H82" t="s">
        <v>160</v>
      </c>
    </row>
    <row r="83" spans="1:8" ht="16">
      <c r="A83" s="282"/>
      <c r="B83" s="12" t="s">
        <v>257</v>
      </c>
      <c r="C83" s="9" t="s">
        <v>274</v>
      </c>
      <c r="D83" s="11" t="s">
        <v>275</v>
      </c>
      <c r="E83" s="9">
        <v>7800</v>
      </c>
      <c r="F83" s="10" t="s">
        <v>276</v>
      </c>
      <c r="G83" s="288"/>
      <c r="H83" t="s">
        <v>160</v>
      </c>
    </row>
    <row r="84" spans="1:8">
      <c r="A84" s="282"/>
      <c r="B84" s="9" t="s">
        <v>257</v>
      </c>
      <c r="C84" s="11" t="s">
        <v>277</v>
      </c>
      <c r="D84" s="11" t="s">
        <v>278</v>
      </c>
      <c r="E84" s="9">
        <v>7300</v>
      </c>
      <c r="F84" s="10" t="s">
        <v>276</v>
      </c>
      <c r="G84" s="288"/>
      <c r="H84" t="s">
        <v>160</v>
      </c>
    </row>
    <row r="85" spans="1:8" ht="16">
      <c r="A85" s="282"/>
      <c r="B85" s="12" t="s">
        <v>257</v>
      </c>
      <c r="C85" s="9" t="s">
        <v>279</v>
      </c>
      <c r="D85" s="11" t="s">
        <v>280</v>
      </c>
      <c r="E85" s="9">
        <v>8000</v>
      </c>
      <c r="F85" s="10" t="s">
        <v>276</v>
      </c>
      <c r="G85" s="288"/>
      <c r="H85" t="s">
        <v>160</v>
      </c>
    </row>
    <row r="86" spans="1:8">
      <c r="A86" s="6"/>
      <c r="B86" s="6"/>
      <c r="C86" s="18"/>
      <c r="D86" s="19"/>
      <c r="E86" s="6"/>
      <c r="F86" s="6"/>
      <c r="G86" s="6"/>
    </row>
  </sheetData>
  <mergeCells count="22">
    <mergeCell ref="A50:A58"/>
    <mergeCell ref="A1:G1"/>
    <mergeCell ref="A2:G2"/>
    <mergeCell ref="A3:G3"/>
    <mergeCell ref="B4:D4"/>
    <mergeCell ref="A5:A13"/>
    <mergeCell ref="A59:A67"/>
    <mergeCell ref="A68:A76"/>
    <mergeCell ref="A77:A85"/>
    <mergeCell ref="G5:G13"/>
    <mergeCell ref="G14:G22"/>
    <mergeCell ref="G23:G31"/>
    <mergeCell ref="G32:G40"/>
    <mergeCell ref="G41:G49"/>
    <mergeCell ref="G50:G58"/>
    <mergeCell ref="G59:G67"/>
    <mergeCell ref="G68:G76"/>
    <mergeCell ref="G77:G85"/>
    <mergeCell ref="A14:A22"/>
    <mergeCell ref="A23:A31"/>
    <mergeCell ref="A32:A40"/>
    <mergeCell ref="A41:A49"/>
  </mergeCells>
  <pageMargins left="0.75" right="0.75" top="1" bottom="1" header="0.5" footer="0.5"/>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
  <sheetViews>
    <sheetView workbookViewId="0">
      <selection sqref="A1:J20"/>
    </sheetView>
  </sheetViews>
  <sheetFormatPr baseColWidth="10" defaultColWidth="9" defaultRowHeight="15"/>
  <cols>
    <col min="7" max="8" width="19.1640625" customWidth="1"/>
    <col min="9" max="9" width="16.6640625" customWidth="1"/>
    <col min="10" max="10" width="14.33203125" customWidth="1"/>
  </cols>
  <sheetData>
    <row r="1" spans="1:10" ht="60">
      <c r="A1" s="302" t="s">
        <v>1</v>
      </c>
      <c r="B1" s="303"/>
      <c r="C1" s="303"/>
      <c r="D1" s="303"/>
      <c r="E1" s="303"/>
      <c r="F1" s="304"/>
      <c r="G1" s="1" t="s">
        <v>289</v>
      </c>
      <c r="H1" s="1" t="s">
        <v>290</v>
      </c>
      <c r="I1" s="1" t="s">
        <v>291</v>
      </c>
      <c r="J1" s="5" t="s">
        <v>292</v>
      </c>
    </row>
    <row r="2" spans="1:10" ht="17">
      <c r="A2" s="296" t="s">
        <v>293</v>
      </c>
      <c r="B2" s="297"/>
      <c r="C2" s="297"/>
      <c r="D2" s="297"/>
      <c r="E2" s="297"/>
      <c r="F2" s="298"/>
      <c r="G2" s="2">
        <v>6900</v>
      </c>
      <c r="H2" s="2">
        <v>8100</v>
      </c>
      <c r="I2" s="2">
        <v>8400</v>
      </c>
      <c r="J2" s="2">
        <v>36</v>
      </c>
    </row>
    <row r="3" spans="1:10" ht="17">
      <c r="A3" s="296" t="s">
        <v>294</v>
      </c>
      <c r="B3" s="297"/>
      <c r="C3" s="297"/>
      <c r="D3" s="297"/>
      <c r="E3" s="297"/>
      <c r="F3" s="298"/>
      <c r="G3" s="2">
        <v>7450</v>
      </c>
      <c r="H3" s="2">
        <v>8650</v>
      </c>
      <c r="I3" s="2">
        <v>8950</v>
      </c>
      <c r="J3" s="2">
        <v>36</v>
      </c>
    </row>
    <row r="4" spans="1:10" ht="17">
      <c r="A4" s="296" t="s">
        <v>295</v>
      </c>
      <c r="B4" s="297"/>
      <c r="C4" s="297"/>
      <c r="D4" s="297"/>
      <c r="E4" s="297"/>
      <c r="F4" s="298"/>
      <c r="G4" s="2">
        <v>6850</v>
      </c>
      <c r="H4" s="2">
        <v>8050</v>
      </c>
      <c r="I4" s="2">
        <v>8350</v>
      </c>
      <c r="J4" s="2">
        <v>40</v>
      </c>
    </row>
    <row r="5" spans="1:10" ht="17">
      <c r="A5" s="296" t="s">
        <v>296</v>
      </c>
      <c r="B5" s="297"/>
      <c r="C5" s="297"/>
      <c r="D5" s="297"/>
      <c r="E5" s="297"/>
      <c r="F5" s="298"/>
      <c r="G5" s="2">
        <v>6900</v>
      </c>
      <c r="H5" s="2">
        <v>8100</v>
      </c>
      <c r="I5" s="2">
        <v>8400</v>
      </c>
      <c r="J5" s="2">
        <v>40</v>
      </c>
    </row>
    <row r="6" spans="1:10" ht="17">
      <c r="A6" s="296" t="s">
        <v>297</v>
      </c>
      <c r="B6" s="297"/>
      <c r="C6" s="297"/>
      <c r="D6" s="297"/>
      <c r="E6" s="297"/>
      <c r="F6" s="298"/>
      <c r="G6" s="2">
        <v>7100</v>
      </c>
      <c r="H6" s="2">
        <v>8300</v>
      </c>
      <c r="I6" s="2">
        <v>8600</v>
      </c>
      <c r="J6" s="2">
        <v>42</v>
      </c>
    </row>
    <row r="7" spans="1:10" ht="17">
      <c r="A7" s="296" t="s">
        <v>298</v>
      </c>
      <c r="B7" s="297"/>
      <c r="C7" s="297"/>
      <c r="D7" s="297"/>
      <c r="E7" s="297"/>
      <c r="F7" s="298"/>
      <c r="G7" s="2">
        <v>7000</v>
      </c>
      <c r="H7" s="2">
        <v>8200</v>
      </c>
      <c r="I7" s="2">
        <v>8500</v>
      </c>
      <c r="J7" s="2">
        <v>40</v>
      </c>
    </row>
    <row r="8" spans="1:10" ht="17">
      <c r="A8" s="296" t="s">
        <v>299</v>
      </c>
      <c r="B8" s="297"/>
      <c r="C8" s="297"/>
      <c r="D8" s="297"/>
      <c r="E8" s="297"/>
      <c r="F8" s="298"/>
      <c r="G8" s="2">
        <v>6900</v>
      </c>
      <c r="H8" s="2">
        <v>8100</v>
      </c>
      <c r="I8" s="2">
        <v>8400</v>
      </c>
      <c r="J8" s="2">
        <v>38</v>
      </c>
    </row>
    <row r="9" spans="1:10" ht="17">
      <c r="A9" s="296" t="s">
        <v>300</v>
      </c>
      <c r="B9" s="297"/>
      <c r="C9" s="297"/>
      <c r="D9" s="297"/>
      <c r="E9" s="297"/>
      <c r="F9" s="298"/>
      <c r="G9" s="2">
        <v>7000</v>
      </c>
      <c r="H9" s="2">
        <v>8200</v>
      </c>
      <c r="I9" s="2">
        <v>8500</v>
      </c>
      <c r="J9" s="2">
        <v>40</v>
      </c>
    </row>
    <row r="10" spans="1:10" ht="17">
      <c r="A10" s="296" t="s">
        <v>301</v>
      </c>
      <c r="B10" s="297"/>
      <c r="C10" s="297"/>
      <c r="D10" s="297"/>
      <c r="E10" s="297"/>
      <c r="F10" s="298"/>
      <c r="G10" s="2">
        <v>7000</v>
      </c>
      <c r="H10" s="2">
        <v>8200</v>
      </c>
      <c r="I10" s="2">
        <v>8500</v>
      </c>
      <c r="J10" s="2">
        <v>36</v>
      </c>
    </row>
    <row r="11" spans="1:10" ht="17">
      <c r="A11" s="299" t="s">
        <v>302</v>
      </c>
      <c r="B11" s="300"/>
      <c r="C11" s="300"/>
      <c r="D11" s="300"/>
      <c r="E11" s="300"/>
      <c r="F11" s="301"/>
      <c r="G11" s="2">
        <v>7200</v>
      </c>
      <c r="H11" s="2">
        <v>8400</v>
      </c>
      <c r="I11" s="2">
        <v>8700</v>
      </c>
      <c r="J11" s="2">
        <v>45</v>
      </c>
    </row>
    <row r="12" spans="1:10" ht="17">
      <c r="A12" s="299" t="s">
        <v>303</v>
      </c>
      <c r="B12" s="300"/>
      <c r="C12" s="300"/>
      <c r="D12" s="300"/>
      <c r="E12" s="300"/>
      <c r="F12" s="301"/>
      <c r="G12" s="2">
        <v>7300</v>
      </c>
      <c r="H12" s="2">
        <v>8500</v>
      </c>
      <c r="I12" s="2">
        <v>8800</v>
      </c>
      <c r="J12" s="2">
        <v>34</v>
      </c>
    </row>
    <row r="13" spans="1:10" ht="17">
      <c r="A13" s="299" t="s">
        <v>304</v>
      </c>
      <c r="B13" s="300"/>
      <c r="C13" s="300"/>
      <c r="D13" s="300"/>
      <c r="E13" s="300"/>
      <c r="F13" s="301"/>
      <c r="G13" s="2">
        <v>7300</v>
      </c>
      <c r="H13" s="2">
        <v>8500</v>
      </c>
      <c r="I13" s="2">
        <v>8800</v>
      </c>
      <c r="J13" s="2">
        <v>40</v>
      </c>
    </row>
    <row r="14" spans="1:10" ht="17">
      <c r="A14" s="299" t="s">
        <v>305</v>
      </c>
      <c r="B14" s="300"/>
      <c r="C14" s="300"/>
      <c r="D14" s="300"/>
      <c r="E14" s="300"/>
      <c r="F14" s="301"/>
      <c r="G14" s="2">
        <v>7300</v>
      </c>
      <c r="H14" s="2">
        <v>8500</v>
      </c>
      <c r="I14" s="2">
        <v>8800</v>
      </c>
      <c r="J14" s="2">
        <v>45</v>
      </c>
    </row>
    <row r="15" spans="1:10" ht="17">
      <c r="A15" s="299" t="s">
        <v>306</v>
      </c>
      <c r="B15" s="300"/>
      <c r="C15" s="300"/>
      <c r="D15" s="300"/>
      <c r="E15" s="300"/>
      <c r="F15" s="301"/>
      <c r="G15" s="2">
        <v>7300</v>
      </c>
      <c r="H15" s="2">
        <v>8500</v>
      </c>
      <c r="I15" s="2">
        <v>8800</v>
      </c>
      <c r="J15" s="2">
        <v>45</v>
      </c>
    </row>
    <row r="16" spans="1:10" ht="17">
      <c r="A16" s="296" t="s">
        <v>307</v>
      </c>
      <c r="B16" s="297"/>
      <c r="C16" s="297"/>
      <c r="D16" s="297"/>
      <c r="E16" s="297"/>
      <c r="F16" s="298"/>
      <c r="G16" s="2">
        <v>7300</v>
      </c>
      <c r="H16" s="2">
        <v>8500</v>
      </c>
      <c r="I16" s="2">
        <v>8800</v>
      </c>
      <c r="J16" s="2">
        <v>42</v>
      </c>
    </row>
    <row r="17" spans="1:10" ht="17">
      <c r="A17" s="296" t="s">
        <v>308</v>
      </c>
      <c r="B17" s="297"/>
      <c r="C17" s="297"/>
      <c r="D17" s="297"/>
      <c r="E17" s="297"/>
      <c r="F17" s="298"/>
      <c r="G17" s="2">
        <v>6900</v>
      </c>
      <c r="H17" s="2">
        <v>8100</v>
      </c>
      <c r="I17" s="2">
        <v>8400</v>
      </c>
      <c r="J17" s="2">
        <v>34</v>
      </c>
    </row>
    <row r="18" spans="1:10" ht="17">
      <c r="A18" s="296" t="s">
        <v>309</v>
      </c>
      <c r="B18" s="297"/>
      <c r="C18" s="297"/>
      <c r="D18" s="297"/>
      <c r="E18" s="297"/>
      <c r="F18" s="298"/>
      <c r="G18" s="2">
        <v>7100</v>
      </c>
      <c r="H18" s="2">
        <v>8300</v>
      </c>
      <c r="I18" s="2">
        <v>8600</v>
      </c>
      <c r="J18" s="2">
        <v>42</v>
      </c>
    </row>
    <row r="19" spans="1:10">
      <c r="A19" s="3"/>
      <c r="B19" s="3"/>
      <c r="C19" s="3"/>
      <c r="D19" s="3"/>
      <c r="E19" s="3"/>
      <c r="F19" s="3"/>
      <c r="G19" s="3"/>
      <c r="H19" s="3"/>
      <c r="I19" s="3"/>
      <c r="J19" s="3"/>
    </row>
    <row r="20" spans="1:10">
      <c r="A20" s="4" t="s">
        <v>310</v>
      </c>
      <c r="B20" s="3"/>
      <c r="C20" s="3"/>
      <c r="D20" s="3"/>
      <c r="E20" s="3"/>
      <c r="F20" s="3"/>
      <c r="G20" s="3"/>
      <c r="H20" s="3"/>
      <c r="I20" s="3"/>
      <c r="J20" s="3"/>
    </row>
  </sheetData>
  <mergeCells count="18">
    <mergeCell ref="A1:F1"/>
    <mergeCell ref="A2:F2"/>
    <mergeCell ref="A3:F3"/>
    <mergeCell ref="A4:F4"/>
    <mergeCell ref="A5:F5"/>
    <mergeCell ref="A6:F6"/>
    <mergeCell ref="A7:F7"/>
    <mergeCell ref="A8:F8"/>
    <mergeCell ref="A9:F9"/>
    <mergeCell ref="A10:F10"/>
    <mergeCell ref="A16:F16"/>
    <mergeCell ref="A17:F17"/>
    <mergeCell ref="A18:F18"/>
    <mergeCell ref="A11:F11"/>
    <mergeCell ref="A12:F12"/>
    <mergeCell ref="A13:F13"/>
    <mergeCell ref="A14:F14"/>
    <mergeCell ref="A15:F15"/>
  </mergeCells>
  <pageMargins left="0.75" right="0.75" top="1" bottom="1" header="0.5" footer="0.5"/>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9FCE-64CE-E44C-A258-E4263929EF98}">
  <dimension ref="A1:Q397"/>
  <sheetViews>
    <sheetView zoomScale="85" workbookViewId="0">
      <pane ySplit="1" topLeftCell="A349" activePane="bottomLeft" state="frozen"/>
      <selection pane="bottomLeft" activeCell="J106" sqref="J106"/>
    </sheetView>
  </sheetViews>
  <sheetFormatPr baseColWidth="10" defaultRowHeight="15"/>
  <cols>
    <col min="1" max="1" width="13.83203125" customWidth="1"/>
    <col min="4" max="4" width="22.83203125" customWidth="1"/>
    <col min="5" max="5" width="16" customWidth="1"/>
    <col min="6" max="6" width="20.5" customWidth="1"/>
    <col min="7" max="7" width="16.1640625" style="229" customWidth="1"/>
    <col min="8" max="8" width="18.6640625" customWidth="1"/>
    <col min="11" max="11" width="21.83203125" customWidth="1"/>
    <col min="13" max="13" width="5.6640625" customWidth="1"/>
    <col min="14" max="14" width="15.33203125" customWidth="1"/>
    <col min="15" max="15" width="19.83203125" customWidth="1"/>
    <col min="16" max="16" width="13" style="206" bestFit="1" customWidth="1"/>
    <col min="17" max="17" width="28.83203125" customWidth="1"/>
  </cols>
  <sheetData>
    <row r="1" spans="1:17" s="170" customFormat="1" ht="104">
      <c r="A1" s="167" t="s">
        <v>311</v>
      </c>
      <c r="B1" s="167" t="s">
        <v>312</v>
      </c>
      <c r="C1" s="167" t="s">
        <v>313</v>
      </c>
      <c r="D1" s="167" t="s">
        <v>314</v>
      </c>
      <c r="E1" s="167" t="s">
        <v>315</v>
      </c>
      <c r="F1" s="167" t="s">
        <v>316</v>
      </c>
      <c r="G1" s="228" t="s">
        <v>317</v>
      </c>
      <c r="H1" s="168" t="s">
        <v>318</v>
      </c>
      <c r="I1" s="167" t="s">
        <v>319</v>
      </c>
      <c r="J1" s="169" t="s">
        <v>320</v>
      </c>
      <c r="K1" s="169" t="s">
        <v>321</v>
      </c>
      <c r="L1" s="169" t="s">
        <v>322</v>
      </c>
      <c r="M1" s="169" t="s">
        <v>323</v>
      </c>
      <c r="N1" s="169" t="s">
        <v>324</v>
      </c>
      <c r="O1" s="169" t="s">
        <v>325</v>
      </c>
      <c r="P1" s="169" t="s">
        <v>326</v>
      </c>
      <c r="Q1" s="167" t="s">
        <v>327</v>
      </c>
    </row>
    <row r="2" spans="1:17">
      <c r="A2" s="205" t="s">
        <v>335</v>
      </c>
      <c r="B2" s="205" t="s">
        <v>330</v>
      </c>
      <c r="C2" t="str">
        <f>'Sea (FOB)'!$F$2</f>
        <v>20GP 
COC</v>
      </c>
      <c r="D2" t="str">
        <f>'Sea (FOB)'!A3</f>
        <v>HONG KONG</v>
      </c>
      <c r="E2" t="str">
        <f>'Sea (FOB)'!B3</f>
        <v>VLADIVISTOK COMMERCIAL/FISHERY</v>
      </c>
      <c r="G2" s="229">
        <f>'Sea (FOB)'!F3</f>
        <v>2850</v>
      </c>
      <c r="P2" s="206">
        <f>'Sea (FOB)'!H3</f>
        <v>45763</v>
      </c>
    </row>
    <row r="3" spans="1:17">
      <c r="A3" s="205" t="s">
        <v>335</v>
      </c>
      <c r="B3" s="205" t="s">
        <v>330</v>
      </c>
      <c r="C3" t="str">
        <f>'Sea (FOB)'!$F$2</f>
        <v>20GP 
COC</v>
      </c>
      <c r="D3" t="str">
        <f>'Sea (FOB)'!A4</f>
        <v>NANSHA</v>
      </c>
      <c r="E3" t="str">
        <f>'Sea (FOB)'!B4</f>
        <v>Vrangel Bay (VOSTOCHNY)</v>
      </c>
      <c r="G3" s="229">
        <f>'Sea (FOB)'!F4</f>
        <v>1825</v>
      </c>
      <c r="P3" s="206">
        <f>'Sea (FOB)'!H4</f>
        <v>45770</v>
      </c>
    </row>
    <row r="4" spans="1:17">
      <c r="A4" s="205" t="s">
        <v>335</v>
      </c>
      <c r="B4" s="205" t="s">
        <v>330</v>
      </c>
      <c r="C4" t="str">
        <f>'Sea (FOB)'!$F$2</f>
        <v>20GP 
COC</v>
      </c>
      <c r="D4" t="str">
        <f>'Sea (FOB)'!A5</f>
        <v>NANSHA</v>
      </c>
      <c r="E4" t="str">
        <f>'Sea (FOB)'!B5</f>
        <v>VLADIVISTOK COMMERCIAL/FISHERY</v>
      </c>
      <c r="G4" s="229">
        <f>'Sea (FOB)'!F5</f>
        <v>1700</v>
      </c>
      <c r="P4" s="206">
        <f>'Sea (FOB)'!H5</f>
        <v>45763</v>
      </c>
    </row>
    <row r="5" spans="1:17">
      <c r="A5" s="205" t="s">
        <v>335</v>
      </c>
      <c r="B5" s="205" t="s">
        <v>330</v>
      </c>
      <c r="C5" t="str">
        <f>'Sea (FOB)'!$F$2</f>
        <v>20GP 
COC</v>
      </c>
      <c r="D5" t="str">
        <f>'Sea (FOB)'!A6</f>
        <v>NANSHA</v>
      </c>
      <c r="E5" t="str">
        <f>'Sea (FOB)'!B6</f>
        <v>VLADIVISTOK COMMERCIAL</v>
      </c>
      <c r="G5" s="229">
        <f>'Sea (FOB)'!F6</f>
        <v>1725</v>
      </c>
      <c r="P5" s="206">
        <f>'Sea (FOB)'!H6</f>
        <v>45765</v>
      </c>
    </row>
    <row r="6" spans="1:17">
      <c r="A6" s="205" t="s">
        <v>335</v>
      </c>
      <c r="B6" s="205" t="s">
        <v>330</v>
      </c>
      <c r="C6" t="str">
        <f>'Sea (FOB)'!$F$2</f>
        <v>20GP 
COC</v>
      </c>
      <c r="D6" t="str">
        <f>'Sea (FOB)'!A7</f>
        <v>SEHKOU</v>
      </c>
      <c r="E6" t="str">
        <f>'Sea (FOB)'!B7</f>
        <v>VLADIVISTOK COMMERCIAL/FISHERY</v>
      </c>
      <c r="G6" s="229">
        <f>'Sea (FOB)'!F7</f>
        <v>1600</v>
      </c>
      <c r="P6" s="206">
        <f>'Sea (FOB)'!H7</f>
        <v>45764</v>
      </c>
    </row>
    <row r="7" spans="1:17">
      <c r="A7" s="205" t="s">
        <v>335</v>
      </c>
      <c r="B7" s="205" t="s">
        <v>330</v>
      </c>
      <c r="C7" t="str">
        <f>'Sea (FOB)'!$F$2</f>
        <v>20GP 
COC</v>
      </c>
      <c r="D7" t="str">
        <f>'Sea (FOB)'!A8</f>
        <v>YANTIAN</v>
      </c>
      <c r="E7" t="str">
        <f>'Sea (FOB)'!B8</f>
        <v>Vrangel Bay (VOSTOCHNY)</v>
      </c>
      <c r="G7" s="229">
        <f>'Sea (FOB)'!F8</f>
        <v>1825</v>
      </c>
      <c r="P7" s="206">
        <f>'Sea (FOB)'!H8</f>
        <v>45769</v>
      </c>
    </row>
    <row r="8" spans="1:17">
      <c r="A8" s="205" t="s">
        <v>335</v>
      </c>
      <c r="B8" s="205" t="s">
        <v>330</v>
      </c>
      <c r="C8" t="str">
        <f>'Sea (FOB)'!$F$2</f>
        <v>20GP 
COC</v>
      </c>
      <c r="D8" t="str">
        <f>'Sea (FOB)'!A9</f>
        <v>YANTIAN</v>
      </c>
      <c r="E8" t="str">
        <f>'Sea (FOB)'!B9</f>
        <v>VLADIVISTOK COMMERCIAL</v>
      </c>
      <c r="G8" s="229">
        <f>'Sea (FOB)'!F9</f>
        <v>1725</v>
      </c>
      <c r="P8" s="206">
        <f>'Sea (FOB)'!H9</f>
        <v>45761</v>
      </c>
    </row>
    <row r="9" spans="1:17">
      <c r="A9" s="205" t="s">
        <v>335</v>
      </c>
      <c r="B9" s="205" t="s">
        <v>330</v>
      </c>
      <c r="C9" t="str">
        <f>'Sea (FOB)'!$F$2</f>
        <v>20GP 
COC</v>
      </c>
      <c r="D9" t="str">
        <f>'Sea (FOB)'!A10</f>
        <v>XIAMEN</v>
      </c>
      <c r="E9" t="str">
        <f>'Sea (FOB)'!B10</f>
        <v>Vrangel Bay (VOSTOCHNY)</v>
      </c>
      <c r="G9" s="229">
        <f>'Sea (FOB)'!F10</f>
        <v>1825</v>
      </c>
      <c r="P9" s="206">
        <f>'Sea (FOB)'!H10</f>
        <v>45772</v>
      </c>
    </row>
    <row r="10" spans="1:17">
      <c r="A10" s="205" t="s">
        <v>335</v>
      </c>
      <c r="B10" s="205" t="s">
        <v>330</v>
      </c>
      <c r="C10" t="str">
        <f>'Sea (FOB)'!$F$2</f>
        <v>20GP 
COC</v>
      </c>
      <c r="D10" t="str">
        <f>'Sea (FOB)'!A11</f>
        <v>XIAMEN</v>
      </c>
      <c r="E10" t="str">
        <f>'Sea (FOB)'!B11</f>
        <v>VLADIVISTOK COMMERCIAL/FISHERY</v>
      </c>
      <c r="G10" s="229">
        <f>'Sea (FOB)'!F11</f>
        <v>1600</v>
      </c>
      <c r="P10" s="206">
        <f>'Sea (FOB)'!H11</f>
        <v>45759</v>
      </c>
    </row>
    <row r="11" spans="1:17">
      <c r="A11" s="205" t="s">
        <v>335</v>
      </c>
      <c r="B11" s="205" t="s">
        <v>330</v>
      </c>
      <c r="C11" t="str">
        <f>'Sea (FOB)'!$F$2</f>
        <v>20GP 
COC</v>
      </c>
      <c r="D11" t="str">
        <f>'Sea (FOB)'!A12</f>
        <v>XIAMEN</v>
      </c>
      <c r="E11" t="str">
        <f>'Sea (FOB)'!B12</f>
        <v>VLADIVISTOK COMMERCIAL</v>
      </c>
      <c r="G11" s="229">
        <f>'Sea (FOB)'!F12</f>
        <v>1700</v>
      </c>
      <c r="P11" s="206">
        <f>'Sea (FOB)'!H12</f>
        <v>45763</v>
      </c>
    </row>
    <row r="12" spans="1:17">
      <c r="A12" s="205" t="s">
        <v>335</v>
      </c>
      <c r="B12" s="205" t="s">
        <v>330</v>
      </c>
      <c r="C12" t="str">
        <f>'Sea (FOB)'!$F$2</f>
        <v>20GP 
COC</v>
      </c>
      <c r="D12" t="str">
        <f>'Sea (FOB)'!A13</f>
        <v>SHANGHAI</v>
      </c>
      <c r="E12" t="str">
        <f>'Sea (FOB)'!B13</f>
        <v>VLADIVISTOK COMMERCIAL/FISHERY</v>
      </c>
      <c r="G12" s="229">
        <f>'Sea (FOB)'!F13</f>
        <v>1430</v>
      </c>
      <c r="P12" s="206">
        <f>'Sea (FOB)'!H13</f>
        <v>45765</v>
      </c>
    </row>
    <row r="13" spans="1:17">
      <c r="A13" s="205" t="s">
        <v>335</v>
      </c>
      <c r="B13" s="205" t="s">
        <v>330</v>
      </c>
      <c r="C13" t="str">
        <f>'Sea (FOB)'!$F$2</f>
        <v>20GP 
COC</v>
      </c>
      <c r="D13" t="str">
        <f>'Sea (FOB)'!A14</f>
        <v>SHANGHAI</v>
      </c>
      <c r="E13" t="str">
        <f>'Sea (FOB)'!B14</f>
        <v>VLADIVISTOK COMMERCIAL/FISHERY</v>
      </c>
      <c r="G13" s="229">
        <f>'Sea (FOB)'!F14</f>
        <v>1430</v>
      </c>
      <c r="P13" s="206">
        <f>'Sea (FOB)'!H14</f>
        <v>45765</v>
      </c>
    </row>
    <row r="14" spans="1:17">
      <c r="A14" s="205" t="s">
        <v>335</v>
      </c>
      <c r="B14" s="205" t="s">
        <v>330</v>
      </c>
      <c r="C14" t="str">
        <f>'Sea (FOB)'!$F$2</f>
        <v>20GP 
COC</v>
      </c>
      <c r="D14" t="str">
        <f>'Sea (FOB)'!A15</f>
        <v>SHANGHAI</v>
      </c>
      <c r="E14" t="str">
        <f>'Sea (FOB)'!B15</f>
        <v>VLADIVISTOK COMMERCIAL</v>
      </c>
      <c r="G14" s="229">
        <f>'Sea (FOB)'!F15</f>
        <v>1600</v>
      </c>
      <c r="P14" s="206">
        <f>'Sea (FOB)'!H15</f>
        <v>45761</v>
      </c>
    </row>
    <row r="15" spans="1:17">
      <c r="A15" s="205" t="s">
        <v>335</v>
      </c>
      <c r="B15" s="205" t="s">
        <v>330</v>
      </c>
      <c r="C15" t="str">
        <f>'Sea (FOB)'!$F$2</f>
        <v>20GP 
COC</v>
      </c>
      <c r="D15" t="str">
        <f>'Sea (FOB)'!A16</f>
        <v>SHANGHAI</v>
      </c>
      <c r="E15" t="str">
        <f>'Sea (FOB)'!B16</f>
        <v>Vrangel Bay (VOSTOCHNY)</v>
      </c>
      <c r="G15" s="229">
        <f>'Sea (FOB)'!F16</f>
        <v>1690</v>
      </c>
      <c r="P15" s="206">
        <f>'Sea (FOB)'!H16</f>
        <v>45762</v>
      </c>
    </row>
    <row r="16" spans="1:17">
      <c r="A16" s="205" t="s">
        <v>335</v>
      </c>
      <c r="B16" s="205" t="s">
        <v>330</v>
      </c>
      <c r="C16" t="str">
        <f>'Sea (FOB)'!$F$2</f>
        <v>20GP 
COC</v>
      </c>
      <c r="D16" t="str">
        <f>'Sea (FOB)'!A17</f>
        <v>SHANGHAI</v>
      </c>
      <c r="E16" t="str">
        <f>'Sea (FOB)'!B17</f>
        <v>VLADIVISTOK COMMERCIAL/FISHERY</v>
      </c>
      <c r="G16" s="229">
        <f>'Sea (FOB)'!F17</f>
        <v>1500</v>
      </c>
      <c r="P16" s="206">
        <f>'Sea (FOB)'!H17</f>
        <v>45760</v>
      </c>
    </row>
    <row r="17" spans="1:16">
      <c r="A17" s="205" t="s">
        <v>335</v>
      </c>
      <c r="B17" s="205" t="s">
        <v>330</v>
      </c>
      <c r="C17" t="str">
        <f>'Sea (FOB)'!$F$2</f>
        <v>20GP 
COC</v>
      </c>
      <c r="D17" t="str">
        <f>'Sea (FOB)'!A18</f>
        <v>SHANGHAI</v>
      </c>
      <c r="E17" t="str">
        <f>'Sea (FOB)'!B18</f>
        <v>Vrangel Bay (VOSTOCHNY)</v>
      </c>
      <c r="G17" s="229">
        <f>'Sea (FOB)'!F18</f>
        <v>1500</v>
      </c>
      <c r="P17" s="206">
        <f>'Sea (FOB)'!H18</f>
        <v>45762</v>
      </c>
    </row>
    <row r="18" spans="1:16">
      <c r="A18" s="205" t="s">
        <v>335</v>
      </c>
      <c r="B18" s="205" t="s">
        <v>330</v>
      </c>
      <c r="C18" t="str">
        <f>'Sea (FOB)'!$F$2</f>
        <v>20GP 
COC</v>
      </c>
      <c r="D18" t="str">
        <f>'Sea (FOB)'!A19</f>
        <v>TAICANG</v>
      </c>
      <c r="E18" t="str">
        <f>'Sea (FOB)'!B19</f>
        <v>Vrangel Bay (VOSTOCHNY)</v>
      </c>
      <c r="G18" s="229">
        <f>'Sea (FOB)'!F19</f>
        <v>1400</v>
      </c>
      <c r="P18" s="206">
        <f>'Sea (FOB)'!H19</f>
        <v>45762</v>
      </c>
    </row>
    <row r="19" spans="1:16">
      <c r="A19" s="205" t="s">
        <v>335</v>
      </c>
      <c r="B19" s="205" t="s">
        <v>330</v>
      </c>
      <c r="C19" t="str">
        <f>'Sea (FOB)'!$F$2</f>
        <v>20GP 
COC</v>
      </c>
      <c r="D19" t="str">
        <f>'Sea (FOB)'!A20</f>
        <v>NINGBO</v>
      </c>
      <c r="E19" t="str">
        <f>'Sea (FOB)'!B20</f>
        <v>Vrangel Bay (VOSTOCHNY)</v>
      </c>
      <c r="G19" s="229">
        <f>'Sea (FOB)'!F20</f>
        <v>1675</v>
      </c>
      <c r="P19" s="206">
        <f>'Sea (FOB)'!H20</f>
        <v>45770</v>
      </c>
    </row>
    <row r="20" spans="1:16">
      <c r="A20" s="205" t="s">
        <v>335</v>
      </c>
      <c r="B20" s="205" t="s">
        <v>330</v>
      </c>
      <c r="C20" t="str">
        <f>'Sea (FOB)'!$F$2</f>
        <v>20GP 
COC</v>
      </c>
      <c r="D20" t="str">
        <f>'Sea (FOB)'!A21</f>
        <v>NINGBO</v>
      </c>
      <c r="E20" t="str">
        <f>'Sea (FOB)'!B21</f>
        <v>VLADIVISTOK COMMERCIAL</v>
      </c>
      <c r="G20" s="229">
        <f>'Sea (FOB)'!F21</f>
        <v>1650</v>
      </c>
      <c r="P20" s="206">
        <f>'Sea (FOB)'!H21</f>
        <v>45765</v>
      </c>
    </row>
    <row r="21" spans="1:16">
      <c r="A21" s="205" t="s">
        <v>335</v>
      </c>
      <c r="B21" s="205" t="s">
        <v>330</v>
      </c>
      <c r="C21" t="str">
        <f>'Sea (FOB)'!$F$2</f>
        <v>20GP 
COC</v>
      </c>
      <c r="D21" t="str">
        <f>'Sea (FOB)'!A22</f>
        <v>NINGBO</v>
      </c>
      <c r="E21" t="str">
        <f>'Sea (FOB)'!B22</f>
        <v>VLADIVISTOK COMMERCIAL/FISHERY</v>
      </c>
      <c r="G21" s="229">
        <f>'Sea (FOB)'!F22</f>
        <v>1450</v>
      </c>
      <c r="P21" s="206">
        <f>'Sea (FOB)'!H22</f>
        <v>45763</v>
      </c>
    </row>
    <row r="22" spans="1:16">
      <c r="A22" s="205" t="s">
        <v>335</v>
      </c>
      <c r="B22" s="205" t="s">
        <v>330</v>
      </c>
      <c r="C22" t="str">
        <f>'Sea (FOB)'!$F$2</f>
        <v>20GP 
COC</v>
      </c>
      <c r="D22" t="str">
        <f>'Sea (FOB)'!A23</f>
        <v>NINGBO</v>
      </c>
      <c r="E22" t="str">
        <f>'Sea (FOB)'!B23</f>
        <v>VLADIVISTOK COMMERCIAL/FISHERY</v>
      </c>
      <c r="G22" s="229">
        <f>'Sea (FOB)'!F23</f>
        <v>1450</v>
      </c>
      <c r="P22" s="206">
        <f>'Sea (FOB)'!H23</f>
        <v>45763</v>
      </c>
    </row>
    <row r="23" spans="1:16">
      <c r="A23" s="205" t="s">
        <v>335</v>
      </c>
      <c r="B23" s="205" t="s">
        <v>330</v>
      </c>
      <c r="C23" t="str">
        <f>'Sea (FOB)'!$F$2</f>
        <v>20GP 
COC</v>
      </c>
      <c r="D23" t="str">
        <f>'Sea (FOB)'!A24</f>
        <v>NINGBO</v>
      </c>
      <c r="E23" t="str">
        <f>'Sea (FOB)'!B24</f>
        <v>VLADIVISTOK COMMERCIAL</v>
      </c>
      <c r="G23" s="229">
        <f>'Sea (FOB)'!F24</f>
        <v>1550</v>
      </c>
      <c r="P23" s="206">
        <f>'Sea (FOB)'!H24</f>
        <v>45766</v>
      </c>
    </row>
    <row r="24" spans="1:16">
      <c r="A24" s="205" t="s">
        <v>335</v>
      </c>
      <c r="B24" s="205" t="s">
        <v>330</v>
      </c>
      <c r="C24" t="str">
        <f>'Sea (FOB)'!$F$2</f>
        <v>20GP 
COC</v>
      </c>
      <c r="D24" t="str">
        <f>'Sea (FOB)'!A25</f>
        <v>NINGBO</v>
      </c>
      <c r="E24" t="str">
        <f>'Sea (FOB)'!B25</f>
        <v>Vrangel Bay (VOSTOCHNY)</v>
      </c>
      <c r="G24" s="229">
        <f>'Sea (FOB)'!F25</f>
        <v>1450</v>
      </c>
      <c r="P24" s="206">
        <f>'Sea (FOB)'!H25</f>
        <v>45764</v>
      </c>
    </row>
    <row r="25" spans="1:16">
      <c r="A25" s="205" t="s">
        <v>335</v>
      </c>
      <c r="B25" s="205" t="s">
        <v>330</v>
      </c>
      <c r="C25" t="str">
        <f>'Sea (FOB)'!$F$2</f>
        <v>20GP 
COC</v>
      </c>
      <c r="D25" t="str">
        <f>'Sea (FOB)'!A26</f>
        <v>NINGBO</v>
      </c>
      <c r="E25" t="str">
        <f>'Sea (FOB)'!B26</f>
        <v>VLADIVISTOK FISH PORT</v>
      </c>
      <c r="G25" s="229">
        <f>'Sea (FOB)'!F26</f>
        <v>1450</v>
      </c>
      <c r="P25" s="206">
        <f>'Sea (FOB)'!H26</f>
        <v>45764</v>
      </c>
    </row>
    <row r="26" spans="1:16">
      <c r="A26" s="205" t="s">
        <v>335</v>
      </c>
      <c r="B26" s="205" t="s">
        <v>330</v>
      </c>
      <c r="C26" t="str">
        <f>'Sea (FOB)'!$F$2</f>
        <v>20GP 
COC</v>
      </c>
      <c r="D26" t="str">
        <f>'Sea (FOB)'!A27</f>
        <v>NINGBO</v>
      </c>
      <c r="E26" t="str">
        <f>'Sea (FOB)'!B27</f>
        <v>Vrangel Bay (VOSTOCHNY)</v>
      </c>
      <c r="G26" s="229">
        <f>'Sea (FOB)'!F27</f>
        <v>1400</v>
      </c>
      <c r="P26" s="206">
        <f>'Sea (FOB)'!H27</f>
        <v>45764</v>
      </c>
    </row>
    <row r="27" spans="1:16">
      <c r="A27" s="205" t="s">
        <v>335</v>
      </c>
      <c r="B27" s="205" t="s">
        <v>330</v>
      </c>
      <c r="C27" t="str">
        <f>'Sea (FOB)'!$F$2</f>
        <v>20GP 
COC</v>
      </c>
      <c r="D27" t="str">
        <f>'Sea (FOB)'!A28</f>
        <v>RIZHAO</v>
      </c>
      <c r="E27" t="str">
        <f>'Sea (FOB)'!B28</f>
        <v>Vrangel Bay (VOSTOCHNY)</v>
      </c>
      <c r="G27" s="229">
        <f>'Sea (FOB)'!F28</f>
        <v>1675</v>
      </c>
      <c r="P27" s="206">
        <f>'Sea (FOB)'!H28</f>
        <v>45770</v>
      </c>
    </row>
    <row r="28" spans="1:16">
      <c r="A28" s="205" t="s">
        <v>335</v>
      </c>
      <c r="B28" s="205" t="s">
        <v>330</v>
      </c>
      <c r="C28" t="str">
        <f>'Sea (FOB)'!$F$2</f>
        <v>20GP 
COC</v>
      </c>
      <c r="D28" t="str">
        <f>'Sea (FOB)'!A29</f>
        <v>RIZHAO</v>
      </c>
      <c r="E28" t="str">
        <f>'Sea (FOB)'!B29</f>
        <v>Vrangel Bay (VOSTOCHNY)</v>
      </c>
      <c r="G28" s="229">
        <f>'Sea (FOB)'!F29</f>
        <v>1500</v>
      </c>
      <c r="P28" s="206">
        <f>'Sea (FOB)'!H29</f>
        <v>45764</v>
      </c>
    </row>
    <row r="29" spans="1:16">
      <c r="A29" s="205" t="s">
        <v>335</v>
      </c>
      <c r="B29" s="205" t="s">
        <v>330</v>
      </c>
      <c r="C29" t="str">
        <f>'Sea (FOB)'!$F$2</f>
        <v>20GP 
COC</v>
      </c>
      <c r="D29" t="str">
        <f>'Sea (FOB)'!A30</f>
        <v>RIZHAO</v>
      </c>
      <c r="E29" t="str">
        <f>'Sea (FOB)'!B30</f>
        <v>Vrangel Bay (VOSTOCHNY)</v>
      </c>
      <c r="G29" s="229">
        <f>'Sea (FOB)'!F30</f>
        <v>1400</v>
      </c>
      <c r="P29" s="206">
        <f>'Sea (FOB)'!H30</f>
        <v>45766</v>
      </c>
    </row>
    <row r="30" spans="1:16">
      <c r="A30" s="205" t="s">
        <v>335</v>
      </c>
      <c r="B30" s="205" t="s">
        <v>330</v>
      </c>
      <c r="C30" t="str">
        <f>'Sea (FOB)'!$F$2</f>
        <v>20GP 
COC</v>
      </c>
      <c r="D30" t="str">
        <f>'Sea (FOB)'!A31</f>
        <v>RIZHAO</v>
      </c>
      <c r="E30" t="str">
        <f>'Sea (FOB)'!B31</f>
        <v>VLADIVISTOK COMMERCIAL</v>
      </c>
      <c r="G30" s="229">
        <f>'Sea (FOB)'!F31</f>
        <v>1550</v>
      </c>
      <c r="P30" s="206">
        <f>'Sea (FOB)'!H31</f>
        <v>45766</v>
      </c>
    </row>
    <row r="31" spans="1:16">
      <c r="A31" s="205" t="s">
        <v>335</v>
      </c>
      <c r="B31" s="205" t="s">
        <v>330</v>
      </c>
      <c r="C31" t="str">
        <f>'Sea (FOB)'!$F$2</f>
        <v>20GP 
COC</v>
      </c>
      <c r="D31" t="str">
        <f>'Sea (FOB)'!A32</f>
        <v>QINGDAO</v>
      </c>
      <c r="E31" t="str">
        <f>'Sea (FOB)'!B32</f>
        <v>Vrangel Bay (VOSTOCHNY)</v>
      </c>
      <c r="G31" s="229">
        <f>'Sea (FOB)'!F32</f>
        <v>1350</v>
      </c>
      <c r="P31" s="206">
        <f>'Sea (FOB)'!H32</f>
        <v>45761</v>
      </c>
    </row>
    <row r="32" spans="1:16">
      <c r="A32" s="205" t="s">
        <v>335</v>
      </c>
      <c r="B32" s="205" t="s">
        <v>330</v>
      </c>
      <c r="C32" t="str">
        <f>'Sea (FOB)'!$F$2</f>
        <v>20GP 
COC</v>
      </c>
      <c r="D32" t="str">
        <f>'Sea (FOB)'!A33</f>
        <v>QINGDAO</v>
      </c>
      <c r="E32" t="str">
        <f>'Sea (FOB)'!B33</f>
        <v>Vrangel Bay (VOSTOCHNY)</v>
      </c>
      <c r="G32" s="229">
        <f>'Sea (FOB)'!F33</f>
        <v>1500</v>
      </c>
      <c r="P32" s="206">
        <f>'Sea (FOB)'!H33</f>
        <v>45766</v>
      </c>
    </row>
    <row r="33" spans="1:16">
      <c r="A33" s="205" t="s">
        <v>335</v>
      </c>
      <c r="B33" s="205" t="s">
        <v>330</v>
      </c>
      <c r="C33" t="str">
        <f>'Sea (FOB)'!$F$2</f>
        <v>20GP 
COC</v>
      </c>
      <c r="D33" t="str">
        <f>'Sea (FOB)'!A34</f>
        <v>QINGDAO</v>
      </c>
      <c r="E33" t="str">
        <f>'Sea (FOB)'!B34</f>
        <v>VLADIVISTOK COMMERCIAL</v>
      </c>
      <c r="G33" s="229">
        <f>'Sea (FOB)'!F34</f>
        <v>1550</v>
      </c>
      <c r="P33" s="206">
        <f>'Sea (FOB)'!H34</f>
        <v>45763</v>
      </c>
    </row>
    <row r="34" spans="1:16">
      <c r="A34" s="205" t="s">
        <v>335</v>
      </c>
      <c r="B34" s="205" t="s">
        <v>330</v>
      </c>
      <c r="C34" t="str">
        <f>'Sea (FOB)'!$F$2</f>
        <v>20GP 
COC</v>
      </c>
      <c r="D34" t="str">
        <f>'Sea (FOB)'!A35</f>
        <v>QINGDAO</v>
      </c>
      <c r="E34" t="str">
        <f>'Sea (FOB)'!B35</f>
        <v>Vrangel Bay (VOSTOCHNY)</v>
      </c>
      <c r="G34" s="229">
        <f>'Sea (FOB)'!F35</f>
        <v>1550</v>
      </c>
      <c r="P34" s="206">
        <f>'Sea (FOB)'!H35</f>
        <v>45775</v>
      </c>
    </row>
    <row r="35" spans="1:16">
      <c r="A35" s="205" t="s">
        <v>335</v>
      </c>
      <c r="B35" s="205" t="s">
        <v>330</v>
      </c>
      <c r="C35" t="str">
        <f>'Sea (FOB)'!$F$2</f>
        <v>20GP 
COC</v>
      </c>
      <c r="D35" t="str">
        <f>'Sea (FOB)'!A36</f>
        <v>QINGDAO</v>
      </c>
      <c r="E35" t="str">
        <f>'Sea (FOB)'!B36</f>
        <v>Vrangel Bay (VOSTOCHNY)</v>
      </c>
      <c r="G35" s="229">
        <f>'Sea (FOB)'!F36</f>
        <v>1450</v>
      </c>
      <c r="P35" s="206">
        <f>'Sea (FOB)'!H36</f>
        <v>45396</v>
      </c>
    </row>
    <row r="36" spans="1:16">
      <c r="A36" s="205" t="s">
        <v>335</v>
      </c>
      <c r="B36" s="205" t="s">
        <v>330</v>
      </c>
      <c r="C36" t="str">
        <f>'Sea (FOB)'!$F$2</f>
        <v>20GP 
COC</v>
      </c>
      <c r="D36" t="str">
        <f>'Sea (FOB)'!A37</f>
        <v>QINGDAO</v>
      </c>
      <c r="E36" t="str">
        <f>'Sea (FOB)'!B37</f>
        <v>VLADIVISTOK FISH PORT/SOLLER</v>
      </c>
      <c r="G36" s="229">
        <f>'Sea (FOB)'!F37</f>
        <v>1450</v>
      </c>
      <c r="P36" s="206">
        <f>'Sea (FOB)'!H37</f>
        <v>45396</v>
      </c>
    </row>
    <row r="37" spans="1:16">
      <c r="A37" s="205" t="s">
        <v>335</v>
      </c>
      <c r="B37" s="205" t="s">
        <v>330</v>
      </c>
      <c r="C37" t="str">
        <f>'Sea (FOB)'!$F$2</f>
        <v>20GP 
COC</v>
      </c>
      <c r="D37" t="str">
        <f>'Sea (FOB)'!A38</f>
        <v>QINGDAO</v>
      </c>
      <c r="E37" t="str">
        <f>'Sea (FOB)'!B38</f>
        <v>VLADIVISTOK COMMERCIAL</v>
      </c>
      <c r="G37" s="229">
        <f>'Sea (FOB)'!F38</f>
        <v>1580</v>
      </c>
      <c r="P37" s="206">
        <f>'Sea (FOB)'!H38</f>
        <v>45760</v>
      </c>
    </row>
    <row r="38" spans="1:16">
      <c r="A38" s="205" t="s">
        <v>335</v>
      </c>
      <c r="B38" s="205" t="s">
        <v>330</v>
      </c>
      <c r="C38" t="str">
        <f>'Sea (FOB)'!$F$2</f>
        <v>20GP 
COC</v>
      </c>
      <c r="D38" t="str">
        <f>'Sea (FOB)'!A39</f>
        <v>QINGDAO</v>
      </c>
      <c r="E38" t="str">
        <f>'Sea (FOB)'!B39</f>
        <v>VLADIVISTOK COMMERCIAL/FISHERY</v>
      </c>
      <c r="G38" s="229">
        <f>'Sea (FOB)'!F39</f>
        <v>1500</v>
      </c>
      <c r="P38" s="206">
        <f>'Sea (FOB)'!H39</f>
        <v>45762</v>
      </c>
    </row>
    <row r="39" spans="1:16">
      <c r="A39" s="205" t="s">
        <v>335</v>
      </c>
      <c r="B39" s="205" t="s">
        <v>330</v>
      </c>
      <c r="C39" t="str">
        <f>'Sea (FOB)'!$F$2</f>
        <v>20GP 
COC</v>
      </c>
      <c r="D39" t="str">
        <f>'Sea (FOB)'!A40</f>
        <v>TIANJIN</v>
      </c>
      <c r="E39" t="str">
        <f>'Sea (FOB)'!B40</f>
        <v>Vrangel Bay (VOSTOCHNY)</v>
      </c>
      <c r="G39" s="229">
        <f>'Sea (FOB)'!F40</f>
        <v>1400</v>
      </c>
      <c r="P39" s="206">
        <f>'Sea (FOB)'!H40</f>
        <v>45769</v>
      </c>
    </row>
    <row r="40" spans="1:16">
      <c r="A40" s="205" t="s">
        <v>335</v>
      </c>
      <c r="B40" s="205" t="s">
        <v>330</v>
      </c>
      <c r="C40" t="str">
        <f>'Sea (FOB)'!$F$2</f>
        <v>20GP 
COC</v>
      </c>
      <c r="D40" t="str">
        <f>'Sea (FOB)'!A41</f>
        <v>TIANJIN</v>
      </c>
      <c r="E40" t="str">
        <f>'Sea (FOB)'!B41</f>
        <v>VLADIVISTOK COMMERCIAL/FISHERY</v>
      </c>
      <c r="G40" s="229">
        <f>'Sea (FOB)'!F41</f>
        <v>1600</v>
      </c>
      <c r="P40" s="206">
        <f>'Sea (FOB)'!H41</f>
        <v>45764</v>
      </c>
    </row>
    <row r="41" spans="1:16">
      <c r="A41" s="205" t="s">
        <v>335</v>
      </c>
      <c r="B41" s="205" t="s">
        <v>330</v>
      </c>
      <c r="C41" t="str">
        <f>'Sea (FOB)'!$F$2</f>
        <v>20GP 
COC</v>
      </c>
      <c r="D41" t="str">
        <f>'Sea (FOB)'!A42</f>
        <v>TIANJIN</v>
      </c>
      <c r="E41" t="str">
        <f>'Sea (FOB)'!B42</f>
        <v>Vrangel Bay (VOSTOCHNY)</v>
      </c>
      <c r="G41" s="229">
        <f>'Sea (FOB)'!F42</f>
        <v>1500</v>
      </c>
      <c r="P41" s="206">
        <f>'Sea (FOB)'!H42</f>
        <v>45768</v>
      </c>
    </row>
    <row r="42" spans="1:16">
      <c r="A42" s="205" t="s">
        <v>335</v>
      </c>
      <c r="B42" s="205" t="s">
        <v>330</v>
      </c>
      <c r="C42" t="str">
        <f>'Sea (FOB)'!$F$2</f>
        <v>20GP 
COC</v>
      </c>
      <c r="D42" t="str">
        <f>'Sea (FOB)'!A43</f>
        <v>TIANJIN</v>
      </c>
      <c r="E42" t="str">
        <f>'Sea (FOB)'!B43</f>
        <v>Vrangel Bay (VOSTOCHNY)</v>
      </c>
      <c r="G42" s="229">
        <f>'Sea (FOB)'!F43</f>
        <v>1675</v>
      </c>
      <c r="P42" s="206">
        <f>'Sea (FOB)'!H43</f>
        <v>45773</v>
      </c>
    </row>
    <row r="43" spans="1:16">
      <c r="A43" s="205" t="s">
        <v>335</v>
      </c>
      <c r="B43" s="205" t="s">
        <v>330</v>
      </c>
      <c r="C43" t="str">
        <f>'Sea (FOB)'!$F$2</f>
        <v>20GP 
COC</v>
      </c>
      <c r="D43" t="str">
        <f>'Sea (FOB)'!A44</f>
        <v>TIANJIN</v>
      </c>
      <c r="E43" t="str">
        <f>'Sea (FOB)'!B44</f>
        <v>VLADIVISTOK COMMERCIAL</v>
      </c>
      <c r="G43" s="229">
        <f>'Sea (FOB)'!F44</f>
        <v>1600</v>
      </c>
      <c r="P43" s="206">
        <f>'Sea (FOB)'!H44</f>
        <v>45764</v>
      </c>
    </row>
    <row r="44" spans="1:16">
      <c r="A44" s="205" t="s">
        <v>335</v>
      </c>
      <c r="B44" s="205" t="s">
        <v>330</v>
      </c>
      <c r="C44" t="str">
        <f>'Sea (FOB)'!$F$2</f>
        <v>20GP 
COC</v>
      </c>
      <c r="D44" t="str">
        <f>'Sea (FOB)'!A45</f>
        <v>TIANJIN</v>
      </c>
      <c r="E44" t="str">
        <f>'Sea (FOB)'!B45</f>
        <v>Vrangel Bay (VOSTOCHNY)</v>
      </c>
      <c r="G44" s="229">
        <f>'Sea (FOB)'!F45</f>
        <v>1550</v>
      </c>
      <c r="P44" s="206">
        <f>'Sea (FOB)'!H45</f>
        <v>45777</v>
      </c>
    </row>
    <row r="45" spans="1:16">
      <c r="A45" s="205" t="s">
        <v>335</v>
      </c>
      <c r="B45" s="205" t="s">
        <v>330</v>
      </c>
      <c r="C45" t="str">
        <f>'Sea (FOB)'!$F$2</f>
        <v>20GP 
COC</v>
      </c>
      <c r="D45" t="str">
        <f>'Sea (FOB)'!A46</f>
        <v>DALIAN</v>
      </c>
      <c r="E45" t="str">
        <f>'Sea (FOB)'!B46</f>
        <v>Vrangel Bay (VOSTOCHNY)</v>
      </c>
      <c r="G45" s="229">
        <f>'Sea (FOB)'!F46</f>
        <v>1775</v>
      </c>
      <c r="P45" s="206">
        <f>'Sea (FOB)'!H46</f>
        <v>45771</v>
      </c>
    </row>
    <row r="46" spans="1:16">
      <c r="A46" s="205" t="s">
        <v>335</v>
      </c>
      <c r="B46" s="205" t="s">
        <v>330</v>
      </c>
      <c r="C46" t="str">
        <f>'Sea (FOB)'!$F$2</f>
        <v>20GP 
COC</v>
      </c>
      <c r="D46" t="str">
        <f>'Sea (FOB)'!A47</f>
        <v>DALIAN</v>
      </c>
      <c r="E46" t="str">
        <f>'Sea (FOB)'!B47</f>
        <v>VLADIVISTOK COMMERCIAL/FISHERY</v>
      </c>
      <c r="G46" s="229">
        <f>'Sea (FOB)'!F47</f>
        <v>1800</v>
      </c>
      <c r="P46" s="206">
        <f>'Sea (FOB)'!H47</f>
        <v>45765</v>
      </c>
    </row>
    <row r="47" spans="1:16">
      <c r="A47" s="205" t="s">
        <v>335</v>
      </c>
      <c r="B47" s="205" t="s">
        <v>330</v>
      </c>
      <c r="C47" t="str">
        <f>'Sea (FOB)'!$F$2</f>
        <v>20GP 
COC</v>
      </c>
      <c r="D47" t="str">
        <f>'Sea (FOB)'!A48</f>
        <v>DALIAN</v>
      </c>
      <c r="E47" t="str">
        <f>'Sea (FOB)'!B48</f>
        <v>VLADIVISTOK COMMERCIAL</v>
      </c>
      <c r="G47" s="229">
        <f>'Sea (FOB)'!F48</f>
        <v>1725</v>
      </c>
      <c r="P47" s="206">
        <f>'Sea (FOB)'!H48</f>
        <v>45766</v>
      </c>
    </row>
    <row r="48" spans="1:16">
      <c r="A48" s="205" t="s">
        <v>335</v>
      </c>
      <c r="B48" s="205" t="s">
        <v>330</v>
      </c>
      <c r="C48" t="str">
        <f>'Sea (FOB)'!$G$2</f>
        <v>40HQ 
COC</v>
      </c>
      <c r="D48" t="str">
        <f>'Sea (FOB)'!A3</f>
        <v>HONG KONG</v>
      </c>
      <c r="E48" t="str">
        <f>'Sea (FOB)'!B3</f>
        <v>VLADIVISTOK COMMERCIAL/FISHERY</v>
      </c>
      <c r="G48" s="229">
        <f>'Sea (FOB)'!G3</f>
        <v>4500</v>
      </c>
      <c r="P48" s="206">
        <f>'Sea (FOB)'!H3</f>
        <v>45763</v>
      </c>
    </row>
    <row r="49" spans="1:16">
      <c r="A49" s="205" t="s">
        <v>335</v>
      </c>
      <c r="B49" s="205" t="s">
        <v>330</v>
      </c>
      <c r="C49" t="str">
        <f>'Sea (FOB)'!$G$2</f>
        <v>40HQ 
COC</v>
      </c>
      <c r="D49" t="str">
        <f>'Sea (FOB)'!A4</f>
        <v>NANSHA</v>
      </c>
      <c r="E49" t="str">
        <f>'Sea (FOB)'!B4</f>
        <v>Vrangel Bay (VOSTOCHNY)</v>
      </c>
      <c r="G49" s="229">
        <f>'Sea (FOB)'!G4</f>
        <v>2550</v>
      </c>
      <c r="P49" s="206">
        <f>'Sea (FOB)'!H4</f>
        <v>45770</v>
      </c>
    </row>
    <row r="50" spans="1:16">
      <c r="A50" s="205" t="s">
        <v>335</v>
      </c>
      <c r="B50" s="205" t="s">
        <v>330</v>
      </c>
      <c r="C50" t="str">
        <f>'Sea (FOB)'!$G$2</f>
        <v>40HQ 
COC</v>
      </c>
      <c r="D50" t="str">
        <f>'Sea (FOB)'!A5</f>
        <v>NANSHA</v>
      </c>
      <c r="E50" t="str">
        <f>'Sea (FOB)'!B5</f>
        <v>VLADIVISTOK COMMERCIAL/FISHERY</v>
      </c>
      <c r="G50" s="229">
        <f>'Sea (FOB)'!G5</f>
        <v>2750</v>
      </c>
      <c r="P50" s="206">
        <f>'Sea (FOB)'!H5</f>
        <v>45763</v>
      </c>
    </row>
    <row r="51" spans="1:16">
      <c r="A51" s="205" t="s">
        <v>335</v>
      </c>
      <c r="B51" s="205" t="s">
        <v>330</v>
      </c>
      <c r="C51" t="str">
        <f>'Sea (FOB)'!$G$2</f>
        <v>40HQ 
COC</v>
      </c>
      <c r="D51" t="str">
        <f>'Sea (FOB)'!A6</f>
        <v>NANSHA</v>
      </c>
      <c r="E51" t="str">
        <f>'Sea (FOB)'!B6</f>
        <v>VLADIVISTOK COMMERCIAL</v>
      </c>
      <c r="G51" s="229">
        <f>'Sea (FOB)'!G6</f>
        <v>2525</v>
      </c>
      <c r="P51" s="206">
        <f>'Sea (FOB)'!H6</f>
        <v>45765</v>
      </c>
    </row>
    <row r="52" spans="1:16">
      <c r="A52" s="205" t="s">
        <v>335</v>
      </c>
      <c r="B52" s="205" t="s">
        <v>330</v>
      </c>
      <c r="C52" t="str">
        <f>'Sea (FOB)'!$G$2</f>
        <v>40HQ 
COC</v>
      </c>
      <c r="D52" t="str">
        <f>'Sea (FOB)'!A7</f>
        <v>SEHKOU</v>
      </c>
      <c r="E52" t="str">
        <f>'Sea (FOB)'!B7</f>
        <v>VLADIVISTOK COMMERCIAL/FISHERY</v>
      </c>
      <c r="G52" s="229">
        <f>'Sea (FOB)'!G7</f>
        <v>2550</v>
      </c>
      <c r="P52" s="206">
        <f>'Sea (FOB)'!H7</f>
        <v>45764</v>
      </c>
    </row>
    <row r="53" spans="1:16">
      <c r="A53" s="205" t="s">
        <v>335</v>
      </c>
      <c r="B53" s="205" t="s">
        <v>330</v>
      </c>
      <c r="C53" t="str">
        <f>'Sea (FOB)'!$G$2</f>
        <v>40HQ 
COC</v>
      </c>
      <c r="D53" t="str">
        <f>'Sea (FOB)'!A8</f>
        <v>YANTIAN</v>
      </c>
      <c r="E53" t="str">
        <f>'Sea (FOB)'!B8</f>
        <v>Vrangel Bay (VOSTOCHNY)</v>
      </c>
      <c r="G53" s="229">
        <f>'Sea (FOB)'!G8</f>
        <v>2600</v>
      </c>
      <c r="P53" s="206">
        <f>'Sea (FOB)'!H8</f>
        <v>45769</v>
      </c>
    </row>
    <row r="54" spans="1:16">
      <c r="A54" s="205" t="s">
        <v>335</v>
      </c>
      <c r="B54" s="205" t="s">
        <v>330</v>
      </c>
      <c r="C54" t="str">
        <f>'Sea (FOB)'!$G$2</f>
        <v>40HQ 
COC</v>
      </c>
      <c r="D54" t="str">
        <f>'Sea (FOB)'!A9</f>
        <v>YANTIAN</v>
      </c>
      <c r="E54" t="str">
        <f>'Sea (FOB)'!B9</f>
        <v>VLADIVISTOK COMMERCIAL</v>
      </c>
      <c r="G54" s="229">
        <f>'Sea (FOB)'!G9</f>
        <v>2575</v>
      </c>
      <c r="P54" s="206">
        <f>'Sea (FOB)'!H9</f>
        <v>45761</v>
      </c>
    </row>
    <row r="55" spans="1:16">
      <c r="A55" s="205" t="s">
        <v>335</v>
      </c>
      <c r="B55" s="205" t="s">
        <v>330</v>
      </c>
      <c r="C55" t="str">
        <f>'Sea (FOB)'!$G$2</f>
        <v>40HQ 
COC</v>
      </c>
      <c r="D55" t="str">
        <f>'Sea (FOB)'!A10</f>
        <v>XIAMEN</v>
      </c>
      <c r="E55" t="str">
        <f>'Sea (FOB)'!B10</f>
        <v>Vrangel Bay (VOSTOCHNY)</v>
      </c>
      <c r="G55" s="229">
        <f>'Sea (FOB)'!G10</f>
        <v>2800</v>
      </c>
      <c r="P55" s="206">
        <f>'Sea (FOB)'!H10</f>
        <v>45772</v>
      </c>
    </row>
    <row r="56" spans="1:16">
      <c r="A56" s="205" t="s">
        <v>335</v>
      </c>
      <c r="B56" s="205" t="s">
        <v>330</v>
      </c>
      <c r="C56" t="str">
        <f>'Sea (FOB)'!$G$2</f>
        <v>40HQ 
COC</v>
      </c>
      <c r="D56" t="str">
        <f>'Sea (FOB)'!A11</f>
        <v>XIAMEN</v>
      </c>
      <c r="E56" t="str">
        <f>'Sea (FOB)'!B11</f>
        <v>VLADIVISTOK COMMERCIAL/FISHERY</v>
      </c>
      <c r="G56" s="229">
        <f>'Sea (FOB)'!G11</f>
        <v>2700</v>
      </c>
      <c r="P56" s="206">
        <f>'Sea (FOB)'!H11</f>
        <v>45759</v>
      </c>
    </row>
    <row r="57" spans="1:16">
      <c r="A57" s="205" t="s">
        <v>335</v>
      </c>
      <c r="B57" s="205" t="s">
        <v>330</v>
      </c>
      <c r="C57" t="str">
        <f>'Sea (FOB)'!$G$2</f>
        <v>40HQ 
COC</v>
      </c>
      <c r="D57" t="str">
        <f>'Sea (FOB)'!A12</f>
        <v>XIAMEN</v>
      </c>
      <c r="E57" t="str">
        <f>'Sea (FOB)'!B12</f>
        <v>VLADIVISTOK COMMERCIAL</v>
      </c>
      <c r="G57" s="229">
        <f>'Sea (FOB)'!G12</f>
        <v>2700</v>
      </c>
      <c r="P57" s="206">
        <f>'Sea (FOB)'!H12</f>
        <v>45763</v>
      </c>
    </row>
    <row r="58" spans="1:16">
      <c r="A58" s="205" t="s">
        <v>335</v>
      </c>
      <c r="B58" s="205" t="s">
        <v>330</v>
      </c>
      <c r="C58" t="str">
        <f>'Sea (FOB)'!$G$2</f>
        <v>40HQ 
COC</v>
      </c>
      <c r="D58" t="str">
        <f>'Sea (FOB)'!A13</f>
        <v>SHANGHAI</v>
      </c>
      <c r="E58" t="str">
        <f>'Sea (FOB)'!B13</f>
        <v>VLADIVISTOK COMMERCIAL/FISHERY</v>
      </c>
      <c r="G58" s="229">
        <f>'Sea (FOB)'!G13</f>
        <v>2110</v>
      </c>
      <c r="P58" s="206">
        <f>'Sea (FOB)'!H13</f>
        <v>45765</v>
      </c>
    </row>
    <row r="59" spans="1:16">
      <c r="A59" s="205" t="s">
        <v>335</v>
      </c>
      <c r="B59" s="205" t="s">
        <v>330</v>
      </c>
      <c r="C59" t="str">
        <f>'Sea (FOB)'!$G$2</f>
        <v>40HQ 
COC</v>
      </c>
      <c r="D59" t="str">
        <f>'Sea (FOB)'!A14</f>
        <v>SHANGHAI</v>
      </c>
      <c r="E59" t="str">
        <f>'Sea (FOB)'!B14</f>
        <v>VLADIVISTOK COMMERCIAL/FISHERY</v>
      </c>
      <c r="G59" s="229">
        <f>'Sea (FOB)'!G14</f>
        <v>2110</v>
      </c>
      <c r="P59" s="206">
        <f>'Sea (FOB)'!H14</f>
        <v>45765</v>
      </c>
    </row>
    <row r="60" spans="1:16">
      <c r="A60" s="205" t="s">
        <v>335</v>
      </c>
      <c r="B60" s="205" t="s">
        <v>330</v>
      </c>
      <c r="C60" t="str">
        <f>'Sea (FOB)'!$G$2</f>
        <v>40HQ 
COC</v>
      </c>
      <c r="D60" t="str">
        <f>'Sea (FOB)'!A15</f>
        <v>SHANGHAI</v>
      </c>
      <c r="E60" t="str">
        <f>'Sea (FOB)'!B15</f>
        <v>VLADIVISTOK COMMERCIAL</v>
      </c>
      <c r="G60" s="229">
        <f>'Sea (FOB)'!G15</f>
        <v>2150</v>
      </c>
      <c r="P60" s="206">
        <f>'Sea (FOB)'!H15</f>
        <v>45761</v>
      </c>
    </row>
    <row r="61" spans="1:16">
      <c r="A61" s="205" t="s">
        <v>335</v>
      </c>
      <c r="B61" s="205" t="s">
        <v>330</v>
      </c>
      <c r="C61" t="str">
        <f>'Sea (FOB)'!$G$2</f>
        <v>40HQ 
COC</v>
      </c>
      <c r="D61" t="str">
        <f>'Sea (FOB)'!A16</f>
        <v>SHANGHAI</v>
      </c>
      <c r="E61" t="str">
        <f>'Sea (FOB)'!B16</f>
        <v>Vrangel Bay (VOSTOCHNY)</v>
      </c>
      <c r="G61" s="229">
        <f>'Sea (FOB)'!G16</f>
        <v>2265</v>
      </c>
      <c r="P61" s="206">
        <f>'Sea (FOB)'!H16</f>
        <v>45762</v>
      </c>
    </row>
    <row r="62" spans="1:16">
      <c r="A62" s="205" t="s">
        <v>335</v>
      </c>
      <c r="B62" s="205" t="s">
        <v>330</v>
      </c>
      <c r="C62" t="str">
        <f>'Sea (FOB)'!$G$2</f>
        <v>40HQ 
COC</v>
      </c>
      <c r="D62" t="str">
        <f>'Sea (FOB)'!A17</f>
        <v>SHANGHAI</v>
      </c>
      <c r="E62" t="str">
        <f>'Sea (FOB)'!B17</f>
        <v>VLADIVISTOK COMMERCIAL/FISHERY</v>
      </c>
      <c r="G62" s="229">
        <f>'Sea (FOB)'!G17</f>
        <v>2150</v>
      </c>
      <c r="P62" s="206">
        <f>'Sea (FOB)'!H17</f>
        <v>45760</v>
      </c>
    </row>
    <row r="63" spans="1:16">
      <c r="A63" s="205" t="s">
        <v>335</v>
      </c>
      <c r="B63" s="205" t="s">
        <v>330</v>
      </c>
      <c r="C63" t="str">
        <f>'Sea (FOB)'!$G$2</f>
        <v>40HQ 
COC</v>
      </c>
      <c r="D63" t="str">
        <f>'Sea (FOB)'!A18</f>
        <v>SHANGHAI</v>
      </c>
      <c r="E63" t="str">
        <f>'Sea (FOB)'!B18</f>
        <v>Vrangel Bay (VOSTOCHNY)</v>
      </c>
      <c r="G63" s="229">
        <f>'Sea (FOB)'!G18</f>
        <v>2050</v>
      </c>
      <c r="P63" s="206">
        <f>'Sea (FOB)'!H18</f>
        <v>45762</v>
      </c>
    </row>
    <row r="64" spans="1:16">
      <c r="A64" s="205" t="s">
        <v>335</v>
      </c>
      <c r="B64" s="205" t="s">
        <v>330</v>
      </c>
      <c r="C64" t="str">
        <f>'Sea (FOB)'!$G$2</f>
        <v>40HQ 
COC</v>
      </c>
      <c r="D64" t="str">
        <f>'Sea (FOB)'!A19</f>
        <v>TAICANG</v>
      </c>
      <c r="E64" t="str">
        <f>'Sea (FOB)'!B19</f>
        <v>Vrangel Bay (VOSTOCHNY)</v>
      </c>
      <c r="G64" s="229">
        <f>'Sea (FOB)'!G19</f>
        <v>2050</v>
      </c>
      <c r="P64" s="206">
        <f>'Sea (FOB)'!H19</f>
        <v>45762</v>
      </c>
    </row>
    <row r="65" spans="1:16">
      <c r="A65" s="205" t="s">
        <v>335</v>
      </c>
      <c r="B65" s="205" t="s">
        <v>330</v>
      </c>
      <c r="C65" t="str">
        <f>'Sea (FOB)'!$G$2</f>
        <v>40HQ 
COC</v>
      </c>
      <c r="D65" t="str">
        <f>'Sea (FOB)'!A20</f>
        <v>NINGBO</v>
      </c>
      <c r="E65" t="str">
        <f>'Sea (FOB)'!B20</f>
        <v>Vrangel Bay (VOSTOCHNY)</v>
      </c>
      <c r="G65" s="229">
        <f>'Sea (FOB)'!G20</f>
        <v>2400</v>
      </c>
      <c r="P65" s="206">
        <f>'Sea (FOB)'!H20</f>
        <v>45770</v>
      </c>
    </row>
    <row r="66" spans="1:16">
      <c r="A66" s="205" t="s">
        <v>335</v>
      </c>
      <c r="B66" s="205" t="s">
        <v>330</v>
      </c>
      <c r="C66" t="str">
        <f>'Sea (FOB)'!$G$2</f>
        <v>40HQ 
COC</v>
      </c>
      <c r="D66" t="str">
        <f>'Sea (FOB)'!A21</f>
        <v>NINGBO</v>
      </c>
      <c r="E66" t="str">
        <f>'Sea (FOB)'!B21</f>
        <v>VLADIVISTOK COMMERCIAL</v>
      </c>
      <c r="G66" s="229">
        <f>'Sea (FOB)'!G21</f>
        <v>2450</v>
      </c>
      <c r="P66" s="206">
        <f>'Sea (FOB)'!H21</f>
        <v>45765</v>
      </c>
    </row>
    <row r="67" spans="1:16">
      <c r="A67" s="205" t="s">
        <v>335</v>
      </c>
      <c r="B67" s="205" t="s">
        <v>330</v>
      </c>
      <c r="C67" t="str">
        <f>'Sea (FOB)'!$G$2</f>
        <v>40HQ 
COC</v>
      </c>
      <c r="D67" t="str">
        <f>'Sea (FOB)'!A22</f>
        <v>NINGBO</v>
      </c>
      <c r="E67" t="str">
        <f>'Sea (FOB)'!B22</f>
        <v>VLADIVISTOK COMMERCIAL/FISHERY</v>
      </c>
      <c r="G67" s="229">
        <f>'Sea (FOB)'!G22</f>
        <v>2250</v>
      </c>
      <c r="P67" s="206">
        <f>'Sea (FOB)'!H22</f>
        <v>45763</v>
      </c>
    </row>
    <row r="68" spans="1:16">
      <c r="A68" s="205" t="s">
        <v>335</v>
      </c>
      <c r="B68" s="205" t="s">
        <v>330</v>
      </c>
      <c r="C68" t="str">
        <f>'Sea (FOB)'!$G$2</f>
        <v>40HQ 
COC</v>
      </c>
      <c r="D68" t="str">
        <f>'Sea (FOB)'!A23</f>
        <v>NINGBO</v>
      </c>
      <c r="E68" t="str">
        <f>'Sea (FOB)'!B23</f>
        <v>VLADIVISTOK COMMERCIAL/FISHERY</v>
      </c>
      <c r="G68" s="229">
        <f>'Sea (FOB)'!G23</f>
        <v>2250</v>
      </c>
      <c r="P68" s="206">
        <f>'Sea (FOB)'!H23</f>
        <v>45763</v>
      </c>
    </row>
    <row r="69" spans="1:16">
      <c r="A69" s="205" t="s">
        <v>335</v>
      </c>
      <c r="B69" s="205" t="s">
        <v>330</v>
      </c>
      <c r="C69" t="str">
        <f>'Sea (FOB)'!$G$2</f>
        <v>40HQ 
COC</v>
      </c>
      <c r="D69" t="str">
        <f>'Sea (FOB)'!A24</f>
        <v>NINGBO</v>
      </c>
      <c r="E69" t="str">
        <f>'Sea (FOB)'!B24</f>
        <v>VLADIVISTOK COMMERCIAL</v>
      </c>
      <c r="G69" s="229">
        <f>'Sea (FOB)'!G24</f>
        <v>2275</v>
      </c>
      <c r="P69" s="206">
        <f>'Sea (FOB)'!H24</f>
        <v>45766</v>
      </c>
    </row>
    <row r="70" spans="1:16">
      <c r="A70" s="205" t="s">
        <v>335</v>
      </c>
      <c r="B70" s="205" t="s">
        <v>330</v>
      </c>
      <c r="C70" t="str">
        <f>'Sea (FOB)'!$G$2</f>
        <v>40HQ 
COC</v>
      </c>
      <c r="D70" t="str">
        <f>'Sea (FOB)'!A25</f>
        <v>NINGBO</v>
      </c>
      <c r="E70" t="str">
        <f>'Sea (FOB)'!B25</f>
        <v>Vrangel Bay (VOSTOCHNY)</v>
      </c>
      <c r="G70" s="229">
        <f>'Sea (FOB)'!G25</f>
        <v>2200</v>
      </c>
      <c r="P70" s="206">
        <f>'Sea (FOB)'!H25</f>
        <v>45764</v>
      </c>
    </row>
    <row r="71" spans="1:16">
      <c r="A71" s="205" t="s">
        <v>335</v>
      </c>
      <c r="B71" s="205" t="s">
        <v>330</v>
      </c>
      <c r="C71" t="str">
        <f>'Sea (FOB)'!$G$2</f>
        <v>40HQ 
COC</v>
      </c>
      <c r="D71" t="str">
        <f>'Sea (FOB)'!A26</f>
        <v>NINGBO</v>
      </c>
      <c r="E71" t="str">
        <f>'Sea (FOB)'!B26</f>
        <v>VLADIVISTOK FISH PORT</v>
      </c>
      <c r="G71" s="229">
        <f>'Sea (FOB)'!G26</f>
        <v>2200</v>
      </c>
      <c r="P71" s="206">
        <f>'Sea (FOB)'!H26</f>
        <v>45764</v>
      </c>
    </row>
    <row r="72" spans="1:16">
      <c r="A72" s="205" t="s">
        <v>335</v>
      </c>
      <c r="B72" s="205" t="s">
        <v>330</v>
      </c>
      <c r="C72" t="str">
        <f>'Sea (FOB)'!$G$2</f>
        <v>40HQ 
COC</v>
      </c>
      <c r="D72" t="str">
        <f>'Sea (FOB)'!A27</f>
        <v>NINGBO</v>
      </c>
      <c r="E72" t="str">
        <f>'Sea (FOB)'!B27</f>
        <v>Vrangel Bay (VOSTOCHNY)</v>
      </c>
      <c r="G72" s="229">
        <f>'Sea (FOB)'!G27</f>
        <v>2200</v>
      </c>
      <c r="P72" s="206">
        <f>'Sea (FOB)'!H27</f>
        <v>45764</v>
      </c>
    </row>
    <row r="73" spans="1:16">
      <c r="A73" s="205" t="s">
        <v>335</v>
      </c>
      <c r="B73" s="205" t="s">
        <v>330</v>
      </c>
      <c r="C73" t="str">
        <f>'Sea (FOB)'!$G$2</f>
        <v>40HQ 
COC</v>
      </c>
      <c r="D73" t="str">
        <f>'Sea (FOB)'!A28</f>
        <v>RIZHAO</v>
      </c>
      <c r="E73" t="str">
        <f>'Sea (FOB)'!B28</f>
        <v>Vrangel Bay (VOSTOCHNY)</v>
      </c>
      <c r="G73" s="229">
        <f>'Sea (FOB)'!G28</f>
        <v>2100</v>
      </c>
      <c r="P73" s="206">
        <f>'Sea (FOB)'!H28</f>
        <v>45770</v>
      </c>
    </row>
    <row r="74" spans="1:16">
      <c r="A74" s="205" t="s">
        <v>335</v>
      </c>
      <c r="B74" s="205" t="s">
        <v>330</v>
      </c>
      <c r="C74" t="str">
        <f>'Sea (FOB)'!$G$2</f>
        <v>40HQ 
COC</v>
      </c>
      <c r="D74" t="str">
        <f>'Sea (FOB)'!A29</f>
        <v>RIZHAO</v>
      </c>
      <c r="E74" t="str">
        <f>'Sea (FOB)'!B29</f>
        <v>Vrangel Bay (VOSTOCHNY)</v>
      </c>
      <c r="G74" s="229">
        <f>'Sea (FOB)'!G29</f>
        <v>1900</v>
      </c>
      <c r="P74" s="206">
        <f>'Sea (FOB)'!H29</f>
        <v>45764</v>
      </c>
    </row>
    <row r="75" spans="1:16">
      <c r="A75" s="205" t="s">
        <v>335</v>
      </c>
      <c r="B75" s="205" t="s">
        <v>330</v>
      </c>
      <c r="C75" t="str">
        <f>'Sea (FOB)'!$G$2</f>
        <v>40HQ 
COC</v>
      </c>
      <c r="D75" t="str">
        <f>'Sea (FOB)'!A30</f>
        <v>RIZHAO</v>
      </c>
      <c r="E75" t="str">
        <f>'Sea (FOB)'!B30</f>
        <v>Vrangel Bay (VOSTOCHNY)</v>
      </c>
      <c r="G75" s="229">
        <f>'Sea (FOB)'!G30</f>
        <v>1900</v>
      </c>
      <c r="P75" s="206">
        <f>'Sea (FOB)'!H30</f>
        <v>45766</v>
      </c>
    </row>
    <row r="76" spans="1:16">
      <c r="A76" s="205" t="s">
        <v>335</v>
      </c>
      <c r="B76" s="205" t="s">
        <v>330</v>
      </c>
      <c r="C76" t="str">
        <f>'Sea (FOB)'!$G$2</f>
        <v>40HQ 
COC</v>
      </c>
      <c r="D76" t="str">
        <f>'Sea (FOB)'!A31</f>
        <v>RIZHAO</v>
      </c>
      <c r="E76" t="str">
        <f>'Sea (FOB)'!B31</f>
        <v>VLADIVISTOK COMMERCIAL</v>
      </c>
      <c r="G76" s="229">
        <f>'Sea (FOB)'!G31</f>
        <v>1900</v>
      </c>
      <c r="P76" s="206">
        <f>'Sea (FOB)'!H31</f>
        <v>45766</v>
      </c>
    </row>
    <row r="77" spans="1:16">
      <c r="A77" s="205" t="s">
        <v>335</v>
      </c>
      <c r="B77" s="205" t="s">
        <v>330</v>
      </c>
      <c r="C77" t="str">
        <f>'Sea (FOB)'!$G$2</f>
        <v>40HQ 
COC</v>
      </c>
      <c r="D77" t="str">
        <f>'Sea (FOB)'!A32</f>
        <v>QINGDAO</v>
      </c>
      <c r="E77" t="str">
        <f>'Sea (FOB)'!B32</f>
        <v>Vrangel Bay (VOSTOCHNY)</v>
      </c>
      <c r="G77" s="229">
        <f>'Sea (FOB)'!G32</f>
        <v>1750</v>
      </c>
      <c r="P77" s="206">
        <f>'Sea (FOB)'!H32</f>
        <v>45761</v>
      </c>
    </row>
    <row r="78" spans="1:16">
      <c r="A78" s="205" t="s">
        <v>335</v>
      </c>
      <c r="B78" s="205" t="s">
        <v>330</v>
      </c>
      <c r="C78" t="str">
        <f>'Sea (FOB)'!$G$2</f>
        <v>40HQ 
COC</v>
      </c>
      <c r="D78" t="str">
        <f>'Sea (FOB)'!A33</f>
        <v>QINGDAO</v>
      </c>
      <c r="E78" t="str">
        <f>'Sea (FOB)'!B33</f>
        <v>Vrangel Bay (VOSTOCHNY)</v>
      </c>
      <c r="G78" s="229">
        <f>'Sea (FOB)'!G33</f>
        <v>2050</v>
      </c>
      <c r="P78" s="206">
        <f>'Sea (FOB)'!H33</f>
        <v>45766</v>
      </c>
    </row>
    <row r="79" spans="1:16">
      <c r="A79" s="205" t="s">
        <v>335</v>
      </c>
      <c r="B79" s="205" t="s">
        <v>330</v>
      </c>
      <c r="C79" t="str">
        <f>'Sea (FOB)'!$G$2</f>
        <v>40HQ 
COC</v>
      </c>
      <c r="D79" t="str">
        <f>'Sea (FOB)'!A34</f>
        <v>QINGDAO</v>
      </c>
      <c r="E79" t="str">
        <f>'Sea (FOB)'!B34</f>
        <v>VLADIVISTOK COMMERCIAL</v>
      </c>
      <c r="G79" s="229">
        <f>'Sea (FOB)'!G34</f>
        <v>1975</v>
      </c>
      <c r="P79" s="206">
        <f>'Sea (FOB)'!H34</f>
        <v>45763</v>
      </c>
    </row>
    <row r="80" spans="1:16">
      <c r="A80" s="205" t="s">
        <v>335</v>
      </c>
      <c r="B80" s="205" t="s">
        <v>330</v>
      </c>
      <c r="C80" t="str">
        <f>'Sea (FOB)'!$G$2</f>
        <v>40HQ 
COC</v>
      </c>
      <c r="D80" t="str">
        <f>'Sea (FOB)'!A35</f>
        <v>QINGDAO</v>
      </c>
      <c r="E80" t="str">
        <f>'Sea (FOB)'!B35</f>
        <v>Vrangel Bay (VOSTOCHNY)</v>
      </c>
      <c r="G80" s="229">
        <f>'Sea (FOB)'!G35</f>
        <v>1975</v>
      </c>
      <c r="P80" s="206">
        <f>'Sea (FOB)'!H35</f>
        <v>45775</v>
      </c>
    </row>
    <row r="81" spans="1:16">
      <c r="A81" s="205" t="s">
        <v>335</v>
      </c>
      <c r="B81" s="205" t="s">
        <v>330</v>
      </c>
      <c r="C81" t="str">
        <f>'Sea (FOB)'!$G$2</f>
        <v>40HQ 
COC</v>
      </c>
      <c r="D81" t="str">
        <f>'Sea (FOB)'!A36</f>
        <v>QINGDAO</v>
      </c>
      <c r="E81" t="str">
        <f>'Sea (FOB)'!B36</f>
        <v>Vrangel Bay (VOSTOCHNY)</v>
      </c>
      <c r="G81" s="229">
        <f>'Sea (FOB)'!G36</f>
        <v>1900</v>
      </c>
      <c r="P81" s="206">
        <f>'Sea (FOB)'!H36</f>
        <v>45396</v>
      </c>
    </row>
    <row r="82" spans="1:16">
      <c r="A82" s="205" t="s">
        <v>335</v>
      </c>
      <c r="B82" s="205" t="s">
        <v>330</v>
      </c>
      <c r="C82" t="str">
        <f>'Sea (FOB)'!$G$2</f>
        <v>40HQ 
COC</v>
      </c>
      <c r="D82" t="str">
        <f>'Sea (FOB)'!A37</f>
        <v>QINGDAO</v>
      </c>
      <c r="E82" t="str">
        <f>'Sea (FOB)'!B37</f>
        <v>VLADIVISTOK FISH PORT/SOLLER</v>
      </c>
      <c r="G82" s="229">
        <f>'Sea (FOB)'!G37</f>
        <v>1900</v>
      </c>
      <c r="P82" s="206">
        <f>'Sea (FOB)'!H37</f>
        <v>45396</v>
      </c>
    </row>
    <row r="83" spans="1:16">
      <c r="A83" s="205" t="s">
        <v>335</v>
      </c>
      <c r="B83" s="205" t="s">
        <v>330</v>
      </c>
      <c r="C83" t="str">
        <f>'Sea (FOB)'!$G$2</f>
        <v>40HQ 
COC</v>
      </c>
      <c r="D83" t="str">
        <f>'Sea (FOB)'!A38</f>
        <v>QINGDAO</v>
      </c>
      <c r="E83" t="str">
        <f>'Sea (FOB)'!B38</f>
        <v>VLADIVISTOK COMMERCIAL</v>
      </c>
      <c r="G83" s="229">
        <f>'Sea (FOB)'!G38</f>
        <v>2080</v>
      </c>
      <c r="P83" s="206">
        <f>'Sea (FOB)'!H38</f>
        <v>45760</v>
      </c>
    </row>
    <row r="84" spans="1:16">
      <c r="A84" s="205" t="s">
        <v>335</v>
      </c>
      <c r="B84" s="205" t="s">
        <v>330</v>
      </c>
      <c r="C84" t="str">
        <f>'Sea (FOB)'!$G$2</f>
        <v>40HQ 
COC</v>
      </c>
      <c r="D84" t="str">
        <f>'Sea (FOB)'!A39</f>
        <v>QINGDAO</v>
      </c>
      <c r="E84" t="str">
        <f>'Sea (FOB)'!B39</f>
        <v>VLADIVISTOK COMMERCIAL/FISHERY</v>
      </c>
      <c r="G84" s="229">
        <f>'Sea (FOB)'!G39</f>
        <v>2000</v>
      </c>
      <c r="P84" s="206">
        <f>'Sea (FOB)'!H39</f>
        <v>45762</v>
      </c>
    </row>
    <row r="85" spans="1:16">
      <c r="A85" s="205" t="s">
        <v>335</v>
      </c>
      <c r="B85" s="205" t="s">
        <v>330</v>
      </c>
      <c r="C85" t="str">
        <f>'Sea (FOB)'!$G$2</f>
        <v>40HQ 
COC</v>
      </c>
      <c r="D85" t="str">
        <f>'Sea (FOB)'!A40</f>
        <v>TIANJIN</v>
      </c>
      <c r="E85" t="str">
        <f>'Sea (FOB)'!B40</f>
        <v>Vrangel Bay (VOSTOCHNY)</v>
      </c>
      <c r="G85" s="229">
        <f>'Sea (FOB)'!G40</f>
        <v>1950</v>
      </c>
      <c r="P85" s="206">
        <f>'Sea (FOB)'!H40</f>
        <v>45769</v>
      </c>
    </row>
    <row r="86" spans="1:16">
      <c r="A86" s="205" t="s">
        <v>335</v>
      </c>
      <c r="B86" s="205" t="s">
        <v>330</v>
      </c>
      <c r="C86" t="str">
        <f>'Sea (FOB)'!$G$2</f>
        <v>40HQ 
COC</v>
      </c>
      <c r="D86" t="str">
        <f>'Sea (FOB)'!A41</f>
        <v>TIANJIN</v>
      </c>
      <c r="E86" t="str">
        <f>'Sea (FOB)'!B41</f>
        <v>VLADIVISTOK COMMERCIAL/FISHERY</v>
      </c>
      <c r="G86" s="229">
        <f>'Sea (FOB)'!G41</f>
        <v>2150</v>
      </c>
      <c r="P86" s="206">
        <f>'Sea (FOB)'!H41</f>
        <v>45764</v>
      </c>
    </row>
    <row r="87" spans="1:16">
      <c r="A87" s="205" t="s">
        <v>335</v>
      </c>
      <c r="B87" s="205" t="s">
        <v>330</v>
      </c>
      <c r="C87" t="str">
        <f>'Sea (FOB)'!$G$2</f>
        <v>40HQ 
COC</v>
      </c>
      <c r="D87" t="str">
        <f>'Sea (FOB)'!A42</f>
        <v>TIANJIN</v>
      </c>
      <c r="E87" t="str">
        <f>'Sea (FOB)'!B42</f>
        <v>Vrangel Bay (VOSTOCHNY)</v>
      </c>
      <c r="G87" s="229">
        <f>'Sea (FOB)'!G42</f>
        <v>1950</v>
      </c>
      <c r="P87" s="206">
        <f>'Sea (FOB)'!H42</f>
        <v>45768</v>
      </c>
    </row>
    <row r="88" spans="1:16">
      <c r="A88" s="205" t="s">
        <v>335</v>
      </c>
      <c r="B88" s="205" t="s">
        <v>330</v>
      </c>
      <c r="C88" t="str">
        <f>'Sea (FOB)'!$G$2</f>
        <v>40HQ 
COC</v>
      </c>
      <c r="D88" t="str">
        <f>'Sea (FOB)'!A43</f>
        <v>TIANJIN</v>
      </c>
      <c r="E88" t="str">
        <f>'Sea (FOB)'!B43</f>
        <v>Vrangel Bay (VOSTOCHNY)</v>
      </c>
      <c r="G88" s="229">
        <f>'Sea (FOB)'!G43</f>
        <v>2150</v>
      </c>
      <c r="P88" s="206">
        <f>'Sea (FOB)'!H43</f>
        <v>45773</v>
      </c>
    </row>
    <row r="89" spans="1:16">
      <c r="A89" s="205" t="s">
        <v>335</v>
      </c>
      <c r="B89" s="205" t="s">
        <v>330</v>
      </c>
      <c r="C89" t="str">
        <f>'Sea (FOB)'!$G$2</f>
        <v>40HQ 
COC</v>
      </c>
      <c r="D89" t="str">
        <f>'Sea (FOB)'!A44</f>
        <v>TIANJIN</v>
      </c>
      <c r="E89" t="str">
        <f>'Sea (FOB)'!B44</f>
        <v>VLADIVISTOK COMMERCIAL</v>
      </c>
      <c r="G89" s="229">
        <f>'Sea (FOB)'!G44</f>
        <v>2050</v>
      </c>
      <c r="P89" s="206">
        <f>'Sea (FOB)'!H44</f>
        <v>45764</v>
      </c>
    </row>
    <row r="90" spans="1:16">
      <c r="A90" s="205" t="s">
        <v>335</v>
      </c>
      <c r="B90" s="205" t="s">
        <v>330</v>
      </c>
      <c r="C90" t="str">
        <f>'Sea (FOB)'!$G$2</f>
        <v>40HQ 
COC</v>
      </c>
      <c r="D90" t="str">
        <f>'Sea (FOB)'!A45</f>
        <v>TIANJIN</v>
      </c>
      <c r="E90" t="str">
        <f>'Sea (FOB)'!B45</f>
        <v>Vrangel Bay (VOSTOCHNY)</v>
      </c>
      <c r="G90" s="229">
        <f>'Sea (FOB)'!G45</f>
        <v>2025</v>
      </c>
      <c r="P90" s="206">
        <f>'Sea (FOB)'!H45</f>
        <v>45777</v>
      </c>
    </row>
    <row r="91" spans="1:16">
      <c r="A91" s="205" t="s">
        <v>335</v>
      </c>
      <c r="B91" s="205" t="s">
        <v>330</v>
      </c>
      <c r="C91" t="str">
        <f>'Sea (FOB)'!$G$2</f>
        <v>40HQ 
COC</v>
      </c>
      <c r="D91" t="str">
        <f>'Sea (FOB)'!A46</f>
        <v>DALIAN</v>
      </c>
      <c r="E91" t="str">
        <f>'Sea (FOB)'!B46</f>
        <v>Vrangel Bay (VOSTOCHNY)</v>
      </c>
      <c r="G91" s="229">
        <f>'Sea (FOB)'!G46</f>
        <v>2150</v>
      </c>
      <c r="P91" s="206">
        <f>'Sea (FOB)'!H46</f>
        <v>45771</v>
      </c>
    </row>
    <row r="92" spans="1:16">
      <c r="A92" s="205" t="s">
        <v>335</v>
      </c>
      <c r="B92" s="205" t="s">
        <v>330</v>
      </c>
      <c r="C92" t="str">
        <f>'Sea (FOB)'!$G$2</f>
        <v>40HQ 
COC</v>
      </c>
      <c r="D92" t="str">
        <f>'Sea (FOB)'!A47</f>
        <v>DALIAN</v>
      </c>
      <c r="E92" t="str">
        <f>'Sea (FOB)'!B47</f>
        <v>VLADIVISTOK COMMERCIAL/FISHERY</v>
      </c>
      <c r="G92" s="229">
        <f>'Sea (FOB)'!G47</f>
        <v>2250</v>
      </c>
      <c r="P92" s="206">
        <f>'Sea (FOB)'!H47</f>
        <v>45765</v>
      </c>
    </row>
    <row r="93" spans="1:16">
      <c r="A93" s="205" t="s">
        <v>335</v>
      </c>
      <c r="B93" s="205" t="s">
        <v>330</v>
      </c>
      <c r="C93" t="str">
        <f>'Sea (FOB)'!$G$2</f>
        <v>40HQ 
COC</v>
      </c>
      <c r="D93" t="str">
        <f>'Sea (FOB)'!A48</f>
        <v>DALIAN</v>
      </c>
      <c r="E93" t="str">
        <f>'Sea (FOB)'!B48</f>
        <v>VLADIVISTOK COMMERCIAL</v>
      </c>
      <c r="G93" s="229">
        <f>'Sea (FOB)'!G48</f>
        <v>2100</v>
      </c>
      <c r="P93" s="206">
        <f>'Sea (FOB)'!H48</f>
        <v>45766</v>
      </c>
    </row>
    <row r="94" spans="1:16">
      <c r="A94" s="205" t="s">
        <v>335</v>
      </c>
      <c r="B94" s="205" t="s">
        <v>330</v>
      </c>
      <c r="C94" t="str">
        <f>'Sea (FOB)'!$G$55</f>
        <v>FILO
40HQ (USD)
COC</v>
      </c>
      <c r="D94" t="str">
        <f>'Sea (FOB)'!A56</f>
        <v>QINGDAO</v>
      </c>
      <c r="E94" t="str">
        <f>'Sea (FOB)'!B56</f>
        <v>St.PETERSBURG(PLP)</v>
      </c>
      <c r="G94" s="229">
        <f>'Sea (FOB)'!G56</f>
        <v>5255</v>
      </c>
      <c r="H94" s="205" t="s">
        <v>56</v>
      </c>
      <c r="K94" s="205" t="s">
        <v>336</v>
      </c>
      <c r="M94" s="205" t="s">
        <v>56</v>
      </c>
      <c r="P94" s="206">
        <f>'Sea (FOB)'!H56</f>
        <v>45763</v>
      </c>
    </row>
    <row r="95" spans="1:16">
      <c r="A95" s="205" t="s">
        <v>335</v>
      </c>
      <c r="B95" s="205" t="s">
        <v>330</v>
      </c>
      <c r="C95" t="str">
        <f>'Sea (FOB)'!$G$55</f>
        <v>FILO
40HQ (USD)
COC</v>
      </c>
      <c r="D95" t="str">
        <f>'Sea (FOB)'!A57</f>
        <v>QINGDAO</v>
      </c>
      <c r="E95" t="str">
        <f>'Sea (FOB)'!B57</f>
        <v>St.PETERSBURG(PLP)</v>
      </c>
      <c r="G95" s="229">
        <f>'Sea (FOB)'!G57</f>
        <v>5350</v>
      </c>
      <c r="H95" s="205" t="s">
        <v>56</v>
      </c>
      <c r="K95" s="205" t="s">
        <v>336</v>
      </c>
      <c r="M95" s="205" t="s">
        <v>56</v>
      </c>
      <c r="P95" s="206">
        <f>'Sea (FOB)'!H57</f>
        <v>45762</v>
      </c>
    </row>
    <row r="96" spans="1:16">
      <c r="A96" s="205" t="s">
        <v>335</v>
      </c>
      <c r="B96" s="205" t="s">
        <v>330</v>
      </c>
      <c r="C96" t="str">
        <f>'Sea (FOB)'!$G$55</f>
        <v>FILO
40HQ (USD)
COC</v>
      </c>
      <c r="D96" t="str">
        <f>'Sea (FOB)'!A58</f>
        <v>QINGDAO</v>
      </c>
      <c r="E96" t="str">
        <f>'Sea (FOB)'!B58</f>
        <v>St.PETERSBURG(FCT)</v>
      </c>
      <c r="G96" s="229">
        <f>'Sea (FOB)'!G58</f>
        <v>5200</v>
      </c>
      <c r="H96" s="205" t="s">
        <v>56</v>
      </c>
      <c r="K96" s="205" t="s">
        <v>336</v>
      </c>
      <c r="M96" s="205" t="s">
        <v>56</v>
      </c>
      <c r="P96" s="206">
        <f>'Sea (FOB)'!H58</f>
        <v>45773</v>
      </c>
    </row>
    <row r="97" spans="1:16">
      <c r="A97" s="205" t="s">
        <v>335</v>
      </c>
      <c r="B97" s="205" t="s">
        <v>330</v>
      </c>
      <c r="C97" t="str">
        <f>'Sea (FOB)'!$G$55</f>
        <v>FILO
40HQ (USD)
COC</v>
      </c>
      <c r="D97" t="str">
        <f>'Sea (FOB)'!A59</f>
        <v>RIZHAO</v>
      </c>
      <c r="E97" t="str">
        <f>'Sea (FOB)'!B59</f>
        <v>St.PETERSBURG(FCT)</v>
      </c>
      <c r="G97" s="229">
        <f>'Sea (FOB)'!G59</f>
        <v>5410</v>
      </c>
      <c r="H97" s="205" t="s">
        <v>56</v>
      </c>
      <c r="K97" s="205" t="s">
        <v>336</v>
      </c>
      <c r="M97" s="205" t="s">
        <v>56</v>
      </c>
      <c r="P97" s="206">
        <f>'Sea (FOB)'!H59</f>
        <v>45771</v>
      </c>
    </row>
    <row r="98" spans="1:16">
      <c r="A98" s="205" t="s">
        <v>335</v>
      </c>
      <c r="B98" s="205" t="s">
        <v>330</v>
      </c>
      <c r="C98" t="str">
        <f>'Sea (FOB)'!$G$55</f>
        <v>FILO
40HQ (USD)
COC</v>
      </c>
      <c r="D98" t="str">
        <f>'Sea (FOB)'!A60</f>
        <v>RIZHAO</v>
      </c>
      <c r="E98" t="str">
        <f>'Sea (FOB)'!B60</f>
        <v>St.PETERSBURG(FCT)</v>
      </c>
      <c r="G98" s="229">
        <f>'Sea (FOB)'!G60</f>
        <v>5200</v>
      </c>
      <c r="H98" s="205" t="s">
        <v>56</v>
      </c>
      <c r="K98" s="205" t="s">
        <v>336</v>
      </c>
      <c r="M98" s="205" t="s">
        <v>56</v>
      </c>
      <c r="P98" s="206">
        <f>'Sea (FOB)'!H60</f>
        <v>45773</v>
      </c>
    </row>
    <row r="99" spans="1:16">
      <c r="A99" s="205" t="s">
        <v>335</v>
      </c>
      <c r="B99" s="205" t="s">
        <v>330</v>
      </c>
      <c r="C99" t="str">
        <f>'Sea (FOB)'!$G$55</f>
        <v>FILO
40HQ (USD)
COC</v>
      </c>
      <c r="D99" t="str">
        <f>'Sea (FOB)'!A61</f>
        <v>SHANGHAI</v>
      </c>
      <c r="E99" t="str">
        <f>'Sea (FOB)'!B61</f>
        <v>St.PETERSBURG(PLP)</v>
      </c>
      <c r="G99" s="229">
        <f>'Sea (FOB)'!G61</f>
        <v>5255</v>
      </c>
      <c r="H99" s="205" t="s">
        <v>56</v>
      </c>
      <c r="K99" s="205" t="s">
        <v>336</v>
      </c>
      <c r="M99" s="205" t="s">
        <v>56</v>
      </c>
      <c r="P99" s="206">
        <f>'Sea (FOB)'!H61</f>
        <v>45766</v>
      </c>
    </row>
    <row r="100" spans="1:16">
      <c r="A100" s="205" t="s">
        <v>335</v>
      </c>
      <c r="B100" s="205" t="s">
        <v>330</v>
      </c>
      <c r="C100" t="str">
        <f>'Sea (FOB)'!$G$55</f>
        <v>FILO
40HQ (USD)
COC</v>
      </c>
      <c r="D100" t="str">
        <f>'Sea (FOB)'!A62</f>
        <v>SHANGHAI</v>
      </c>
      <c r="E100" t="str">
        <f>'Sea (FOB)'!B62</f>
        <v>St.PETERSBURG(PLP)</v>
      </c>
      <c r="G100" s="229">
        <f>'Sea (FOB)'!G62</f>
        <v>5350</v>
      </c>
      <c r="H100" s="205" t="s">
        <v>56</v>
      </c>
      <c r="K100" s="205" t="s">
        <v>336</v>
      </c>
      <c r="M100" s="205" t="s">
        <v>56</v>
      </c>
      <c r="P100" s="206">
        <f>'Sea (FOB)'!H62</f>
        <v>45765</v>
      </c>
    </row>
    <row r="101" spans="1:16">
      <c r="A101" s="205" t="s">
        <v>335</v>
      </c>
      <c r="B101" s="205" t="s">
        <v>330</v>
      </c>
      <c r="C101" t="str">
        <f>'Sea (FOB)'!$G$55</f>
        <v>FILO
40HQ (USD)
COC</v>
      </c>
      <c r="D101" t="str">
        <f>'Sea (FOB)'!A63</f>
        <v>SHANGHAI</v>
      </c>
      <c r="E101" t="str">
        <f>'Sea (FOB)'!B63</f>
        <v>St.PETERSBURG(Bronka)</v>
      </c>
      <c r="G101" s="229">
        <f>'Sea (FOB)'!G63</f>
        <v>5410</v>
      </c>
      <c r="H101" s="205" t="s">
        <v>56</v>
      </c>
      <c r="K101" s="205" t="s">
        <v>336</v>
      </c>
      <c r="M101" s="205" t="s">
        <v>56</v>
      </c>
      <c r="P101" s="206">
        <f>'Sea (FOB)'!H63</f>
        <v>45781</v>
      </c>
    </row>
    <row r="102" spans="1:16">
      <c r="A102" s="205" t="s">
        <v>335</v>
      </c>
      <c r="B102" s="205" t="s">
        <v>330</v>
      </c>
      <c r="C102" t="str">
        <f>'Sea (FOB)'!$G$55</f>
        <v>FILO
40HQ (USD)
COC</v>
      </c>
      <c r="D102" t="str">
        <f>'Sea (FOB)'!A64</f>
        <v>SHANGHAI</v>
      </c>
      <c r="E102" t="str">
        <f>'Sea (FOB)'!B64</f>
        <v>St.PETERSBURG(FCT)</v>
      </c>
      <c r="G102" s="229">
        <f>'Sea (FOB)'!G64</f>
        <v>5300</v>
      </c>
      <c r="H102" s="205" t="s">
        <v>56</v>
      </c>
      <c r="K102" s="205" t="s">
        <v>336</v>
      </c>
      <c r="M102" s="205" t="s">
        <v>56</v>
      </c>
      <c r="P102" s="206">
        <f>'Sea (FOB)'!H64</f>
        <v>45769</v>
      </c>
    </row>
    <row r="103" spans="1:16">
      <c r="A103" s="205" t="s">
        <v>335</v>
      </c>
      <c r="B103" s="205" t="s">
        <v>330</v>
      </c>
      <c r="C103" t="str">
        <f>'Sea (FOB)'!$G$55</f>
        <v>FILO
40HQ (USD)
COC</v>
      </c>
      <c r="D103" t="str">
        <f>'Sea (FOB)'!A65</f>
        <v>NINGBO</v>
      </c>
      <c r="E103" t="str">
        <f>'Sea (FOB)'!B65</f>
        <v>St.PETERSBURG(CTSP)</v>
      </c>
      <c r="G103" s="229">
        <f>'Sea (FOB)'!G65</f>
        <v>5400</v>
      </c>
      <c r="H103" s="205" t="s">
        <v>56</v>
      </c>
      <c r="K103" s="205" t="s">
        <v>336</v>
      </c>
      <c r="M103" s="205" t="s">
        <v>56</v>
      </c>
      <c r="P103" s="206">
        <f>'Sea (FOB)'!H65</f>
        <v>45761</v>
      </c>
    </row>
    <row r="104" spans="1:16">
      <c r="A104" s="205" t="s">
        <v>335</v>
      </c>
      <c r="B104" s="205" t="s">
        <v>330</v>
      </c>
      <c r="C104" t="str">
        <f>'Sea (FOB)'!$G$55</f>
        <v>FILO
40HQ (USD)
COC</v>
      </c>
      <c r="D104" t="str">
        <f>'Sea (FOB)'!A66</f>
        <v>NINGBO</v>
      </c>
      <c r="E104" t="str">
        <f>'Sea (FOB)'!B66</f>
        <v>St.PETERSBURG(FCT)</v>
      </c>
      <c r="G104" s="229">
        <f>'Sea (FOB)'!G66</f>
        <v>5450</v>
      </c>
      <c r="H104" s="205" t="s">
        <v>56</v>
      </c>
      <c r="K104" s="205" t="s">
        <v>336</v>
      </c>
      <c r="M104" s="205" t="s">
        <v>56</v>
      </c>
      <c r="P104" s="206">
        <f>'Sea (FOB)'!H66</f>
        <v>45767</v>
      </c>
    </row>
    <row r="105" spans="1:16">
      <c r="A105" s="205" t="s">
        <v>335</v>
      </c>
      <c r="B105" s="205" t="s">
        <v>330</v>
      </c>
      <c r="C105" t="str">
        <f>'Sea (FOB)'!$G$55</f>
        <v>FILO
40HQ (USD)
COC</v>
      </c>
      <c r="D105" t="str">
        <f>'Sea (FOB)'!A67</f>
        <v>NANSHA</v>
      </c>
      <c r="E105" t="str">
        <f>'Sea (FOB)'!B67</f>
        <v>St.PETERSBURG(PLP)</v>
      </c>
      <c r="G105" s="229">
        <f>'Sea (FOB)'!G67</f>
        <v>5255</v>
      </c>
      <c r="H105" s="205" t="s">
        <v>56</v>
      </c>
      <c r="K105" s="205" t="s">
        <v>336</v>
      </c>
      <c r="M105" s="205" t="s">
        <v>56</v>
      </c>
      <c r="P105" s="206">
        <f>'Sea (FOB)'!H67</f>
        <v>45769</v>
      </c>
    </row>
    <row r="106" spans="1:16">
      <c r="A106" s="205" t="s">
        <v>335</v>
      </c>
      <c r="B106" s="205" t="s">
        <v>330</v>
      </c>
      <c r="C106" t="str">
        <f>'Sea (FOB)'!$G$55</f>
        <v>FILO
40HQ (USD)
COC</v>
      </c>
      <c r="D106" t="str">
        <f>'Sea (FOB)'!A68</f>
        <v>NANSHA</v>
      </c>
      <c r="E106" t="str">
        <f>'Sea (FOB)'!B68</f>
        <v>St.PETERSBURG(CTSP)</v>
      </c>
      <c r="G106" s="229">
        <f>'Sea (FOB)'!G68</f>
        <v>5400</v>
      </c>
      <c r="H106" s="205" t="s">
        <v>56</v>
      </c>
      <c r="K106" s="205" t="s">
        <v>336</v>
      </c>
      <c r="M106" s="205" t="s">
        <v>56</v>
      </c>
      <c r="P106" s="206">
        <f>'Sea (FOB)'!H68</f>
        <v>45764</v>
      </c>
    </row>
    <row r="107" spans="1:16">
      <c r="A107" s="205" t="s">
        <v>335</v>
      </c>
      <c r="B107" s="205" t="s">
        <v>330</v>
      </c>
      <c r="C107" t="str">
        <f>'Sea (FOB)'!$G$55</f>
        <v>FILO
40HQ (USD)
COC</v>
      </c>
      <c r="D107" t="str">
        <f>'Sea (FOB)'!A69</f>
        <v>NANSHA</v>
      </c>
      <c r="E107" t="str">
        <f>'Sea (FOB)'!B69</f>
        <v>St.PETERSBURG(PLP)</v>
      </c>
      <c r="G107" s="229">
        <f>'Sea (FOB)'!G69</f>
        <v>5350</v>
      </c>
      <c r="H107" s="205" t="s">
        <v>56</v>
      </c>
      <c r="K107" s="205" t="s">
        <v>336</v>
      </c>
      <c r="M107" s="205" t="s">
        <v>56</v>
      </c>
      <c r="P107" s="206">
        <f>'Sea (FOB)'!H69</f>
        <v>45768</v>
      </c>
    </row>
    <row r="108" spans="1:16">
      <c r="A108" s="205" t="s">
        <v>335</v>
      </c>
      <c r="B108" s="205" t="s">
        <v>330</v>
      </c>
      <c r="C108" t="str">
        <f>'Sea (FOB)'!$G$55</f>
        <v>FILO
40HQ (USD)
COC</v>
      </c>
      <c r="D108" t="str">
        <f>'Sea (FOB)'!A70</f>
        <v>NANSHA</v>
      </c>
      <c r="E108" t="str">
        <f>'Sea (FOB)'!B70</f>
        <v>St.PETERSBURG(FCT)</v>
      </c>
      <c r="G108" s="229">
        <f>'Sea (FOB)'!G70</f>
        <v>5500</v>
      </c>
      <c r="H108" s="205" t="s">
        <v>56</v>
      </c>
      <c r="K108" s="205" t="s">
        <v>336</v>
      </c>
      <c r="M108" s="205" t="s">
        <v>56</v>
      </c>
      <c r="P108" s="206">
        <f>'Sea (FOB)'!H70</f>
        <v>45761</v>
      </c>
    </row>
    <row r="109" spans="1:16">
      <c r="A109" s="205" t="s">
        <v>335</v>
      </c>
      <c r="B109" s="205" t="s">
        <v>330</v>
      </c>
      <c r="C109" t="str">
        <f>'Sea (FOB)'!$G$55</f>
        <v>FILO
40HQ (USD)
COC</v>
      </c>
      <c r="D109" t="str">
        <f>'Sea (FOB)'!A71</f>
        <v>NANSHA</v>
      </c>
      <c r="E109" t="str">
        <f>'Sea (FOB)'!B71</f>
        <v>St.PETERSBURG(Bronka)</v>
      </c>
      <c r="G109" s="229">
        <f>'Sea (FOB)'!G71</f>
        <v>5410</v>
      </c>
      <c r="H109" s="205" t="s">
        <v>56</v>
      </c>
      <c r="K109" s="205" t="s">
        <v>336</v>
      </c>
      <c r="M109" s="205" t="s">
        <v>56</v>
      </c>
      <c r="P109" s="206">
        <f>'Sea (FOB)'!H71</f>
        <v>45785</v>
      </c>
    </row>
    <row r="110" spans="1:16">
      <c r="A110" s="205" t="s">
        <v>335</v>
      </c>
      <c r="B110" s="205" t="s">
        <v>330</v>
      </c>
      <c r="C110" t="str">
        <f>'Sea (FOB)'!$G$55</f>
        <v>FILO
40HQ (USD)
COC</v>
      </c>
      <c r="D110" t="str">
        <f>'Sea (FOB)'!A72</f>
        <v>NANSHA</v>
      </c>
      <c r="E110" t="str">
        <f>'Sea (FOB)'!B72</f>
        <v>St.PETERSBURG</v>
      </c>
      <c r="G110" s="229">
        <f>'Sea (FOB)'!G72</f>
        <v>6050</v>
      </c>
      <c r="H110" s="205" t="s">
        <v>56</v>
      </c>
      <c r="K110" s="205" t="s">
        <v>336</v>
      </c>
      <c r="M110" s="205" t="s">
        <v>56</v>
      </c>
      <c r="P110" s="206">
        <f>'Sea (FOB)'!H72</f>
        <v>45763</v>
      </c>
    </row>
    <row r="111" spans="1:16">
      <c r="A111" s="205" t="s">
        <v>335</v>
      </c>
      <c r="B111" s="205" t="s">
        <v>330</v>
      </c>
      <c r="C111" t="str">
        <f>'Sea (FOB)'!$G$55</f>
        <v>FILO
40HQ (USD)
COC</v>
      </c>
      <c r="D111" t="str">
        <f>'Sea (FOB)'!A73</f>
        <v>YANTIAN</v>
      </c>
      <c r="E111" t="str">
        <f>'Sea (FOB)'!B73</f>
        <v>St.PETERSBURG(FCT)</v>
      </c>
      <c r="G111" s="229">
        <f>'Sea (FOB)'!G73</f>
        <v>5300</v>
      </c>
      <c r="H111" s="205" t="s">
        <v>56</v>
      </c>
      <c r="K111" s="205" t="s">
        <v>336</v>
      </c>
      <c r="M111" s="205" t="s">
        <v>56</v>
      </c>
      <c r="P111" s="206">
        <f>'Sea (FOB)'!H73</f>
        <v>45761</v>
      </c>
    </row>
    <row r="112" spans="1:16">
      <c r="A112" s="205" t="s">
        <v>335</v>
      </c>
      <c r="B112" s="205" t="s">
        <v>330</v>
      </c>
      <c r="C112" t="str">
        <f>'Sea (FOB)'!$G$55</f>
        <v>FILO
40HQ (USD)
COC</v>
      </c>
      <c r="D112" t="str">
        <f>'Sea (FOB)'!A74</f>
        <v>TIANJIN</v>
      </c>
      <c r="E112" t="str">
        <f>'Sea (FOB)'!B74</f>
        <v>St.PETERSBURG(FCT)</v>
      </c>
      <c r="G112" s="229">
        <f>'Sea (FOB)'!G74</f>
        <v>5610</v>
      </c>
      <c r="H112" s="205" t="s">
        <v>56</v>
      </c>
      <c r="K112" s="205" t="s">
        <v>336</v>
      </c>
      <c r="M112" s="205" t="s">
        <v>56</v>
      </c>
      <c r="P112" s="206">
        <f>'Sea (FOB)'!H74</f>
        <v>45768</v>
      </c>
    </row>
    <row r="113" spans="1:16">
      <c r="A113" s="205" t="s">
        <v>335</v>
      </c>
      <c r="B113" s="205" t="s">
        <v>330</v>
      </c>
      <c r="C113" t="str">
        <f>'Sea (FOB)'!$G$55</f>
        <v>FILO
40HQ (USD)
COC</v>
      </c>
      <c r="D113" t="str">
        <f>'Sea (FOB)'!A75</f>
        <v>TIANJIN</v>
      </c>
      <c r="E113" t="str">
        <f>'Sea (FOB)'!B75</f>
        <v>St.PETERSBURG</v>
      </c>
      <c r="G113" s="229">
        <f>'Sea (FOB)'!G75</f>
        <v>5950</v>
      </c>
      <c r="H113" s="205" t="s">
        <v>56</v>
      </c>
      <c r="K113" s="205" t="s">
        <v>336</v>
      </c>
      <c r="M113" s="205" t="s">
        <v>56</v>
      </c>
      <c r="P113" s="206">
        <f>'Sea (FOB)'!H75</f>
        <v>45764</v>
      </c>
    </row>
    <row r="114" spans="1:16">
      <c r="A114" s="205" t="s">
        <v>335</v>
      </c>
      <c r="B114" s="205" t="s">
        <v>330</v>
      </c>
      <c r="C114" t="str">
        <f>'Sea (FOB)'!$G$55</f>
        <v>FILO
40HQ (USD)
COC</v>
      </c>
      <c r="D114" t="str">
        <f>'Sea (FOB)'!A76</f>
        <v>TIANJIN</v>
      </c>
      <c r="E114" t="str">
        <f>'Sea (FOB)'!B76</f>
        <v>St.PETERSBURG(FCT)</v>
      </c>
      <c r="G114" s="229">
        <f>'Sea (FOB)'!G76</f>
        <v>5850</v>
      </c>
      <c r="H114" s="205" t="s">
        <v>56</v>
      </c>
      <c r="K114" s="205" t="s">
        <v>336</v>
      </c>
      <c r="M114" s="205" t="s">
        <v>56</v>
      </c>
      <c r="P114" s="206">
        <f>'Sea (FOB)'!H76</f>
        <v>45764</v>
      </c>
    </row>
    <row r="115" spans="1:16">
      <c r="A115" s="205" t="s">
        <v>335</v>
      </c>
      <c r="B115" s="205" t="s">
        <v>330</v>
      </c>
      <c r="C115" t="str">
        <f>'Sea (FOB)'!$F$55</f>
        <v>FILO
20GP (USD)
COC</v>
      </c>
      <c r="D115" t="str">
        <f>'Sea (FOB)'!A56</f>
        <v>QINGDAO</v>
      </c>
      <c r="E115" t="str">
        <f>'Sea (FOB)'!B56</f>
        <v>St.PETERSBURG(PLP)</v>
      </c>
      <c r="G115" s="229">
        <f>'Sea (FOB)'!F56</f>
        <v>3755</v>
      </c>
      <c r="H115" s="205" t="s">
        <v>56</v>
      </c>
      <c r="K115" s="205" t="s">
        <v>336</v>
      </c>
      <c r="M115" s="205" t="s">
        <v>56</v>
      </c>
      <c r="P115" s="206">
        <f>'Sea (FOB)'!H56</f>
        <v>45763</v>
      </c>
    </row>
    <row r="116" spans="1:16">
      <c r="A116" s="205" t="s">
        <v>335</v>
      </c>
      <c r="B116" s="205" t="s">
        <v>330</v>
      </c>
      <c r="C116" t="str">
        <f>'Sea (FOB)'!$F$55</f>
        <v>FILO
20GP (USD)
COC</v>
      </c>
      <c r="D116" t="str">
        <f>'Sea (FOB)'!A57</f>
        <v>QINGDAO</v>
      </c>
      <c r="E116" t="str">
        <f>'Sea (FOB)'!B57</f>
        <v>St.PETERSBURG(PLP)</v>
      </c>
      <c r="G116" s="229">
        <f>'Sea (FOB)'!F57</f>
        <v>3850</v>
      </c>
      <c r="H116" s="205" t="s">
        <v>56</v>
      </c>
      <c r="K116" s="205" t="s">
        <v>336</v>
      </c>
      <c r="M116" s="205" t="s">
        <v>56</v>
      </c>
      <c r="P116" s="206">
        <f>'Sea (FOB)'!H57</f>
        <v>45762</v>
      </c>
    </row>
    <row r="117" spans="1:16">
      <c r="A117" s="205" t="s">
        <v>335</v>
      </c>
      <c r="B117" s="205" t="s">
        <v>330</v>
      </c>
      <c r="C117" t="str">
        <f>'Sea (FOB)'!$F$55</f>
        <v>FILO
20GP (USD)
COC</v>
      </c>
      <c r="D117" t="str">
        <f>'Sea (FOB)'!A58</f>
        <v>QINGDAO</v>
      </c>
      <c r="E117" t="str">
        <f>'Sea (FOB)'!B58</f>
        <v>St.PETERSBURG(FCT)</v>
      </c>
      <c r="G117" s="229">
        <f>'Sea (FOB)'!F58</f>
        <v>3450</v>
      </c>
      <c r="H117" s="205" t="s">
        <v>56</v>
      </c>
      <c r="K117" s="205" t="s">
        <v>336</v>
      </c>
      <c r="M117" s="205" t="s">
        <v>56</v>
      </c>
      <c r="P117" s="206">
        <f>'Sea (FOB)'!H58</f>
        <v>45773</v>
      </c>
    </row>
    <row r="118" spans="1:16">
      <c r="A118" s="205" t="s">
        <v>335</v>
      </c>
      <c r="B118" s="205" t="s">
        <v>330</v>
      </c>
      <c r="C118" t="str">
        <f>'Sea (FOB)'!$F$55</f>
        <v>FILO
20GP (USD)
COC</v>
      </c>
      <c r="D118" t="str">
        <f>'Sea (FOB)'!A59</f>
        <v>RIZHAO</v>
      </c>
      <c r="E118" t="str">
        <f>'Sea (FOB)'!B59</f>
        <v>St.PETERSBURG(FCT)</v>
      </c>
      <c r="G118" s="229">
        <f>'Sea (FOB)'!F59</f>
        <v>3960</v>
      </c>
      <c r="H118" s="205" t="s">
        <v>56</v>
      </c>
      <c r="K118" s="205" t="s">
        <v>336</v>
      </c>
      <c r="M118" s="205" t="s">
        <v>56</v>
      </c>
      <c r="P118" s="206">
        <f>'Sea (FOB)'!H59</f>
        <v>45771</v>
      </c>
    </row>
    <row r="119" spans="1:16">
      <c r="A119" s="205" t="s">
        <v>335</v>
      </c>
      <c r="B119" s="205" t="s">
        <v>330</v>
      </c>
      <c r="C119" t="str">
        <f>'Sea (FOB)'!$F$55</f>
        <v>FILO
20GP (USD)
COC</v>
      </c>
      <c r="D119" t="str">
        <f>'Sea (FOB)'!A60</f>
        <v>RIZHAO</v>
      </c>
      <c r="E119" t="str">
        <f>'Sea (FOB)'!B60</f>
        <v>St.PETERSBURG(FCT)</v>
      </c>
      <c r="G119" s="229">
        <f>'Sea (FOB)'!F60</f>
        <v>3450</v>
      </c>
      <c r="H119" s="205" t="s">
        <v>56</v>
      </c>
      <c r="K119" s="205" t="s">
        <v>336</v>
      </c>
      <c r="M119" s="205" t="s">
        <v>56</v>
      </c>
      <c r="P119" s="206">
        <f>'Sea (FOB)'!H60</f>
        <v>45773</v>
      </c>
    </row>
    <row r="120" spans="1:16">
      <c r="A120" s="205" t="s">
        <v>335</v>
      </c>
      <c r="B120" s="205" t="s">
        <v>330</v>
      </c>
      <c r="C120" t="str">
        <f>'Sea (FOB)'!$F$55</f>
        <v>FILO
20GP (USD)
COC</v>
      </c>
      <c r="D120" t="str">
        <f>'Sea (FOB)'!A61</f>
        <v>SHANGHAI</v>
      </c>
      <c r="E120" t="str">
        <f>'Sea (FOB)'!B61</f>
        <v>St.PETERSBURG(PLP)</v>
      </c>
      <c r="G120" s="229">
        <f>'Sea (FOB)'!F61</f>
        <v>3755</v>
      </c>
      <c r="H120" s="205" t="s">
        <v>56</v>
      </c>
      <c r="K120" s="205" t="s">
        <v>336</v>
      </c>
      <c r="M120" s="205" t="s">
        <v>56</v>
      </c>
      <c r="P120" s="206">
        <f>'Sea (FOB)'!H61</f>
        <v>45766</v>
      </c>
    </row>
    <row r="121" spans="1:16">
      <c r="A121" s="205" t="s">
        <v>335</v>
      </c>
      <c r="B121" s="205" t="s">
        <v>330</v>
      </c>
      <c r="C121" t="str">
        <f>'Sea (FOB)'!$F$55</f>
        <v>FILO
20GP (USD)
COC</v>
      </c>
      <c r="D121" t="str">
        <f>'Sea (FOB)'!A62</f>
        <v>SHANGHAI</v>
      </c>
      <c r="E121" t="str">
        <f>'Sea (FOB)'!B62</f>
        <v>St.PETERSBURG(PLP)</v>
      </c>
      <c r="G121" s="229">
        <f>'Sea (FOB)'!F62</f>
        <v>3850</v>
      </c>
      <c r="H121" s="205" t="s">
        <v>56</v>
      </c>
      <c r="K121" s="205" t="s">
        <v>336</v>
      </c>
      <c r="M121" s="205" t="s">
        <v>56</v>
      </c>
      <c r="P121" s="206">
        <f>'Sea (FOB)'!H62</f>
        <v>45765</v>
      </c>
    </row>
    <row r="122" spans="1:16">
      <c r="A122" s="205" t="s">
        <v>335</v>
      </c>
      <c r="B122" s="205" t="s">
        <v>330</v>
      </c>
      <c r="C122" t="str">
        <f>'Sea (FOB)'!$F$55</f>
        <v>FILO
20GP (USD)
COC</v>
      </c>
      <c r="D122" t="str">
        <f>'Sea (FOB)'!A63</f>
        <v>SHANGHAI</v>
      </c>
      <c r="E122" t="str">
        <f>'Sea (FOB)'!B63</f>
        <v>St.PETERSBURG(Bronka)</v>
      </c>
      <c r="G122" s="229">
        <f>'Sea (FOB)'!F63</f>
        <v>3960</v>
      </c>
      <c r="H122" s="205" t="s">
        <v>56</v>
      </c>
      <c r="K122" s="205" t="s">
        <v>336</v>
      </c>
      <c r="M122" s="205" t="s">
        <v>56</v>
      </c>
      <c r="P122" s="206">
        <f>'Sea (FOB)'!H63</f>
        <v>45781</v>
      </c>
    </row>
    <row r="123" spans="1:16">
      <c r="A123" s="205" t="s">
        <v>335</v>
      </c>
      <c r="B123" s="205" t="s">
        <v>330</v>
      </c>
      <c r="C123" t="str">
        <f>'Sea (FOB)'!$F$55</f>
        <v>FILO
20GP (USD)
COC</v>
      </c>
      <c r="D123" t="str">
        <f>'Sea (FOB)'!A64</f>
        <v>SHANGHAI</v>
      </c>
      <c r="E123" t="str">
        <f>'Sea (FOB)'!B64</f>
        <v>St.PETERSBURG(FCT)</v>
      </c>
      <c r="G123" s="229">
        <f>'Sea (FOB)'!F64</f>
        <v>3850</v>
      </c>
      <c r="H123" s="205" t="s">
        <v>56</v>
      </c>
      <c r="K123" s="205" t="s">
        <v>336</v>
      </c>
      <c r="M123" s="205" t="s">
        <v>56</v>
      </c>
      <c r="P123" s="206">
        <f>'Sea (FOB)'!H64</f>
        <v>45769</v>
      </c>
    </row>
    <row r="124" spans="1:16">
      <c r="A124" s="205" t="s">
        <v>335</v>
      </c>
      <c r="B124" s="205" t="s">
        <v>330</v>
      </c>
      <c r="C124" t="str">
        <f>'Sea (FOB)'!$F$55</f>
        <v>FILO
20GP (USD)
COC</v>
      </c>
      <c r="D124" t="str">
        <f>'Sea (FOB)'!A65</f>
        <v>NINGBO</v>
      </c>
      <c r="E124" t="str">
        <f>'Sea (FOB)'!B65</f>
        <v>St.PETERSBURG(CTSP)</v>
      </c>
      <c r="G124" s="229">
        <f>'Sea (FOB)'!F65</f>
        <v>3950</v>
      </c>
      <c r="H124" s="205" t="s">
        <v>56</v>
      </c>
      <c r="K124" s="205" t="s">
        <v>336</v>
      </c>
      <c r="M124" s="205" t="s">
        <v>56</v>
      </c>
      <c r="P124" s="206">
        <f>'Sea (FOB)'!H65</f>
        <v>45761</v>
      </c>
    </row>
    <row r="125" spans="1:16">
      <c r="A125" s="205" t="s">
        <v>335</v>
      </c>
      <c r="B125" s="205" t="s">
        <v>330</v>
      </c>
      <c r="C125" t="str">
        <f>'Sea (FOB)'!$F$55</f>
        <v>FILO
20GP (USD)
COC</v>
      </c>
      <c r="D125" t="str">
        <f>'Sea (FOB)'!A66</f>
        <v>NINGBO</v>
      </c>
      <c r="E125" t="str">
        <f>'Sea (FOB)'!B66</f>
        <v>St.PETERSBURG(FCT)</v>
      </c>
      <c r="G125" s="229">
        <f>'Sea (FOB)'!F66</f>
        <v>3850</v>
      </c>
      <c r="H125" s="205" t="s">
        <v>56</v>
      </c>
      <c r="K125" s="205" t="s">
        <v>336</v>
      </c>
      <c r="M125" s="205" t="s">
        <v>56</v>
      </c>
      <c r="P125" s="206">
        <f>'Sea (FOB)'!H66</f>
        <v>45767</v>
      </c>
    </row>
    <row r="126" spans="1:16">
      <c r="A126" s="205" t="s">
        <v>335</v>
      </c>
      <c r="B126" s="205" t="s">
        <v>330</v>
      </c>
      <c r="C126" t="str">
        <f>'Sea (FOB)'!$F$55</f>
        <v>FILO
20GP (USD)
COC</v>
      </c>
      <c r="D126" t="str">
        <f>'Sea (FOB)'!A67</f>
        <v>NANSHA</v>
      </c>
      <c r="E126" t="str">
        <f>'Sea (FOB)'!B67</f>
        <v>St.PETERSBURG(PLP)</v>
      </c>
      <c r="G126" s="229">
        <f>'Sea (FOB)'!F67</f>
        <v>3755</v>
      </c>
      <c r="H126" s="205" t="s">
        <v>56</v>
      </c>
      <c r="K126" s="205" t="s">
        <v>336</v>
      </c>
      <c r="M126" s="205" t="s">
        <v>56</v>
      </c>
      <c r="P126" s="206">
        <f>'Sea (FOB)'!H67</f>
        <v>45769</v>
      </c>
    </row>
    <row r="127" spans="1:16">
      <c r="A127" s="205" t="s">
        <v>335</v>
      </c>
      <c r="B127" s="205" t="s">
        <v>330</v>
      </c>
      <c r="C127" t="str">
        <f>'Sea (FOB)'!$F$55</f>
        <v>FILO
20GP (USD)
COC</v>
      </c>
      <c r="D127" t="str">
        <f>'Sea (FOB)'!A68</f>
        <v>NANSHA</v>
      </c>
      <c r="E127" t="str">
        <f>'Sea (FOB)'!B68</f>
        <v>St.PETERSBURG(CTSP)</v>
      </c>
      <c r="G127" s="229">
        <f>'Sea (FOB)'!F68</f>
        <v>3950</v>
      </c>
      <c r="H127" s="205" t="s">
        <v>56</v>
      </c>
      <c r="K127" s="205" t="s">
        <v>336</v>
      </c>
      <c r="M127" s="205" t="s">
        <v>56</v>
      </c>
      <c r="P127" s="206">
        <f>'Sea (FOB)'!H68</f>
        <v>45764</v>
      </c>
    </row>
    <row r="128" spans="1:16">
      <c r="A128" s="205" t="s">
        <v>335</v>
      </c>
      <c r="B128" s="205" t="s">
        <v>330</v>
      </c>
      <c r="C128" t="str">
        <f>'Sea (FOB)'!$F$55</f>
        <v>FILO
20GP (USD)
COC</v>
      </c>
      <c r="D128" t="str">
        <f>'Sea (FOB)'!A69</f>
        <v>NANSHA</v>
      </c>
      <c r="E128" t="str">
        <f>'Sea (FOB)'!B69</f>
        <v>St.PETERSBURG(PLP)</v>
      </c>
      <c r="G128" s="229">
        <f>'Sea (FOB)'!F69</f>
        <v>3850</v>
      </c>
      <c r="H128" s="225" t="s">
        <v>56</v>
      </c>
      <c r="K128" s="205" t="s">
        <v>336</v>
      </c>
      <c r="M128" s="205" t="s">
        <v>56</v>
      </c>
      <c r="P128" s="206">
        <f>'Sea (FOB)'!H69</f>
        <v>45768</v>
      </c>
    </row>
    <row r="129" spans="1:16">
      <c r="A129" s="205" t="s">
        <v>335</v>
      </c>
      <c r="B129" s="205" t="s">
        <v>330</v>
      </c>
      <c r="C129" t="str">
        <f>'Sea (FOB)'!$F$55</f>
        <v>FILO
20GP (USD)
COC</v>
      </c>
      <c r="D129" t="str">
        <f>'Sea (FOB)'!A70</f>
        <v>NANSHA</v>
      </c>
      <c r="E129" t="str">
        <f>'Sea (FOB)'!B70</f>
        <v>St.PETERSBURG(FCT)</v>
      </c>
      <c r="G129" s="229">
        <f>'Sea (FOB)'!F70</f>
        <v>3725</v>
      </c>
      <c r="H129" s="225" t="s">
        <v>56</v>
      </c>
      <c r="K129" s="205" t="s">
        <v>336</v>
      </c>
      <c r="M129" s="205" t="s">
        <v>56</v>
      </c>
      <c r="P129" s="206">
        <f>'Sea (FOB)'!H70</f>
        <v>45761</v>
      </c>
    </row>
    <row r="130" spans="1:16">
      <c r="A130" s="205" t="s">
        <v>335</v>
      </c>
      <c r="B130" s="205" t="s">
        <v>330</v>
      </c>
      <c r="C130" t="str">
        <f>'Sea (FOB)'!$F$55</f>
        <v>FILO
20GP (USD)
COC</v>
      </c>
      <c r="D130" t="str">
        <f>'Sea (FOB)'!A71</f>
        <v>NANSHA</v>
      </c>
      <c r="E130" t="str">
        <f>'Sea (FOB)'!B71</f>
        <v>St.PETERSBURG(Bronka)</v>
      </c>
      <c r="G130" s="229">
        <f>'Sea (FOB)'!F71</f>
        <v>3960</v>
      </c>
      <c r="H130" s="225" t="s">
        <v>56</v>
      </c>
      <c r="K130" s="205" t="s">
        <v>336</v>
      </c>
      <c r="M130" s="205" t="s">
        <v>56</v>
      </c>
      <c r="P130" s="206">
        <f>'Sea (FOB)'!H71</f>
        <v>45785</v>
      </c>
    </row>
    <row r="131" spans="1:16">
      <c r="A131" s="205" t="s">
        <v>335</v>
      </c>
      <c r="B131" s="205" t="s">
        <v>330</v>
      </c>
      <c r="C131" t="str">
        <f>'Sea (FOB)'!$F$55</f>
        <v>FILO
20GP (USD)
COC</v>
      </c>
      <c r="D131" t="str">
        <f>'Sea (FOB)'!A72</f>
        <v>NANSHA</v>
      </c>
      <c r="E131" t="str">
        <f>'Sea (FOB)'!B72</f>
        <v>St.PETERSBURG</v>
      </c>
      <c r="G131" s="229">
        <f>'Sea (FOB)'!F72</f>
        <v>4400</v>
      </c>
      <c r="H131" s="225" t="s">
        <v>56</v>
      </c>
      <c r="K131" s="205" t="s">
        <v>336</v>
      </c>
      <c r="M131" s="205" t="s">
        <v>56</v>
      </c>
      <c r="P131" s="206">
        <f>'Sea (FOB)'!H72</f>
        <v>45763</v>
      </c>
    </row>
    <row r="132" spans="1:16">
      <c r="A132" s="205" t="s">
        <v>335</v>
      </c>
      <c r="B132" s="205" t="s">
        <v>330</v>
      </c>
      <c r="C132" t="str">
        <f>'Sea (FOB)'!$F$55</f>
        <v>FILO
20GP (USD)
COC</v>
      </c>
      <c r="D132" t="str">
        <f>'Sea (FOB)'!A73</f>
        <v>YANTIAN</v>
      </c>
      <c r="E132" t="str">
        <f>'Sea (FOB)'!B73</f>
        <v>St.PETERSBURG(FCT)</v>
      </c>
      <c r="G132" s="229">
        <f>'Sea (FOB)'!F73</f>
        <v>3550</v>
      </c>
      <c r="H132" s="225" t="s">
        <v>56</v>
      </c>
      <c r="K132" s="205" t="s">
        <v>336</v>
      </c>
      <c r="M132" s="205" t="s">
        <v>56</v>
      </c>
      <c r="P132" s="206">
        <f>'Sea (FOB)'!H73</f>
        <v>45761</v>
      </c>
    </row>
    <row r="133" spans="1:16">
      <c r="A133" s="205" t="s">
        <v>335</v>
      </c>
      <c r="B133" s="205" t="s">
        <v>330</v>
      </c>
      <c r="C133" t="str">
        <f>'Sea (FOB)'!$F$55</f>
        <v>FILO
20GP (USD)
COC</v>
      </c>
      <c r="D133" t="str">
        <f>'Sea (FOB)'!A74</f>
        <v>TIANJIN</v>
      </c>
      <c r="E133" t="str">
        <f>'Sea (FOB)'!B74</f>
        <v>St.PETERSBURG(FCT)</v>
      </c>
      <c r="G133" s="229">
        <f>'Sea (FOB)'!F74</f>
        <v>4160</v>
      </c>
      <c r="H133" s="225" t="s">
        <v>56</v>
      </c>
      <c r="K133" s="205" t="s">
        <v>336</v>
      </c>
      <c r="M133" s="205" t="s">
        <v>56</v>
      </c>
      <c r="P133" s="206">
        <f>'Sea (FOB)'!H74</f>
        <v>45768</v>
      </c>
    </row>
    <row r="134" spans="1:16">
      <c r="A134" s="205" t="s">
        <v>335</v>
      </c>
      <c r="B134" s="205" t="s">
        <v>330</v>
      </c>
      <c r="C134" t="str">
        <f>'Sea (FOB)'!$F$55</f>
        <v>FILO
20GP (USD)
COC</v>
      </c>
      <c r="D134" t="str">
        <f>'Sea (FOB)'!A75</f>
        <v>TIANJIN</v>
      </c>
      <c r="E134" t="str">
        <f>'Sea (FOB)'!B75</f>
        <v>St.PETERSBURG</v>
      </c>
      <c r="G134" s="229">
        <f>'Sea (FOB)'!F75</f>
        <v>4150</v>
      </c>
      <c r="H134" s="225" t="s">
        <v>56</v>
      </c>
      <c r="K134" s="205" t="s">
        <v>336</v>
      </c>
      <c r="M134" s="205" t="s">
        <v>56</v>
      </c>
      <c r="P134" s="206">
        <f>'Sea (FOB)'!H75</f>
        <v>45764</v>
      </c>
    </row>
    <row r="135" spans="1:16">
      <c r="A135" s="205" t="s">
        <v>335</v>
      </c>
      <c r="B135" s="205" t="s">
        <v>330</v>
      </c>
      <c r="C135" t="str">
        <f>'Sea (FOB)'!$F$55</f>
        <v>FILO
20GP (USD)
COC</v>
      </c>
      <c r="D135" t="str">
        <f>'Sea (FOB)'!A76</f>
        <v>TIANJIN</v>
      </c>
      <c r="E135" t="str">
        <f>'Sea (FOB)'!B76</f>
        <v>St.PETERSBURG(FCT)</v>
      </c>
      <c r="G135" s="229">
        <f>'Sea (FOB)'!F76</f>
        <v>3950</v>
      </c>
      <c r="H135" s="225" t="s">
        <v>56</v>
      </c>
      <c r="K135" s="205" t="s">
        <v>336</v>
      </c>
      <c r="M135" s="205" t="s">
        <v>56</v>
      </c>
      <c r="P135" s="206">
        <f>'Sea (FOB)'!H76</f>
        <v>45764</v>
      </c>
    </row>
    <row r="136" spans="1:16">
      <c r="A136" s="225" t="s">
        <v>337</v>
      </c>
      <c r="B136" s="225" t="s">
        <v>338</v>
      </c>
      <c r="C136" s="225" t="s">
        <v>339</v>
      </c>
      <c r="D136" s="226" t="str">
        <f>'Rail (EXW)'!A2</f>
        <v>Shanghai/Suzhou</v>
      </c>
      <c r="E136" s="226" t="str">
        <f>'Rail (EXW)'!G2</f>
        <v>Erlian</v>
      </c>
      <c r="F136" s="226" t="str">
        <f>'Rail (EXW)'!C2</f>
        <v>Moscow</v>
      </c>
      <c r="G136" s="230">
        <f>'Rail (EXW)'!D2</f>
        <v>4850</v>
      </c>
      <c r="H136" s="225" t="s">
        <v>56</v>
      </c>
      <c r="I136" s="226" t="str">
        <f>'Rail (EXW)'!H2</f>
        <v>Elektrougli</v>
      </c>
      <c r="J136" s="226"/>
      <c r="K136" s="225"/>
      <c r="L136" s="226"/>
      <c r="M136" s="225"/>
      <c r="N136" s="226"/>
      <c r="O136" s="226"/>
      <c r="P136" s="227" t="str">
        <f>'Rail (EXW)'!E2</f>
        <v>4.16/4.25/4.30</v>
      </c>
    </row>
    <row r="137" spans="1:16">
      <c r="A137" s="225" t="s">
        <v>337</v>
      </c>
      <c r="B137" s="225" t="s">
        <v>338</v>
      </c>
      <c r="C137" s="225" t="str">
        <f>$C$136</f>
        <v>40 HC</v>
      </c>
      <c r="D137" s="226" t="str">
        <f>'Rail (EXW)'!A3</f>
        <v>Ningbo/Cixi</v>
      </c>
      <c r="E137" s="226" t="str">
        <f>'Rail (EXW)'!G3</f>
        <v>Erlian</v>
      </c>
      <c r="F137" s="226" t="str">
        <f>'Rail (EXW)'!C3</f>
        <v>Moscow</v>
      </c>
      <c r="G137" s="230">
        <f>'Rail (EXW)'!D3</f>
        <v>5050</v>
      </c>
      <c r="H137" s="225" t="s">
        <v>56</v>
      </c>
      <c r="I137" s="226" t="str">
        <f>'Rail (EXW)'!H3</f>
        <v>Elektrougli</v>
      </c>
      <c r="J137" s="226"/>
      <c r="K137" s="225"/>
      <c r="L137" s="226"/>
      <c r="M137" s="225"/>
      <c r="N137" s="226"/>
      <c r="O137" s="226"/>
      <c r="P137" s="227" t="str">
        <f>'Rail (EXW)'!E3</f>
        <v>4.16/4.25/4.30</v>
      </c>
    </row>
    <row r="138" spans="1:16">
      <c r="A138" s="225" t="s">
        <v>337</v>
      </c>
      <c r="B138" s="225" t="s">
        <v>338</v>
      </c>
      <c r="C138" s="225" t="str">
        <f t="shared" ref="C138:C201" si="0">$C$136</f>
        <v>40 HC</v>
      </c>
      <c r="D138" s="226" t="str">
        <f>'Rail (EXW)'!A4</f>
        <v>Qingdao/Linyi</v>
      </c>
      <c r="E138" s="226" t="str">
        <f>'Rail (EXW)'!G4</f>
        <v>Erlian</v>
      </c>
      <c r="F138" s="226" t="str">
        <f>'Rail (EXW)'!C4</f>
        <v>Moscow</v>
      </c>
      <c r="G138" s="230">
        <f>'Rail (EXW)'!D4</f>
        <v>4750</v>
      </c>
      <c r="H138" s="225" t="s">
        <v>56</v>
      </c>
      <c r="I138" s="226" t="str">
        <f>'Rail (EXW)'!H4</f>
        <v>Elektrougli</v>
      </c>
      <c r="J138" s="226"/>
      <c r="K138" s="225"/>
      <c r="L138" s="226"/>
      <c r="M138" s="225"/>
      <c r="N138" s="226"/>
      <c r="O138" s="226"/>
      <c r="P138" s="227" t="str">
        <f>'Rail (EXW)'!E4</f>
        <v>4.16/4.25/4.30</v>
      </c>
    </row>
    <row r="139" spans="1:16">
      <c r="A139" s="225" t="s">
        <v>337</v>
      </c>
      <c r="B139" s="225" t="s">
        <v>338</v>
      </c>
      <c r="C139" s="225" t="str">
        <f t="shared" si="0"/>
        <v>40 HC</v>
      </c>
      <c r="D139" s="226" t="str">
        <f>'Rail (EXW)'!A5</f>
        <v>Tianjin/Cangzhou</v>
      </c>
      <c r="E139" s="226" t="str">
        <f>'Rail (EXW)'!G5</f>
        <v>Erlian</v>
      </c>
      <c r="F139" s="226" t="str">
        <f>'Rail (EXW)'!C5</f>
        <v>Moscow</v>
      </c>
      <c r="G139" s="230">
        <f>'Rail (EXW)'!D5</f>
        <v>5450</v>
      </c>
      <c r="H139" s="225" t="s">
        <v>56</v>
      </c>
      <c r="I139" s="226" t="str">
        <f>'Rail (EXW)'!H5</f>
        <v>Elektrougli</v>
      </c>
      <c r="J139" s="226"/>
      <c r="K139" s="225"/>
      <c r="L139" s="226"/>
      <c r="M139" s="225"/>
      <c r="N139" s="226"/>
      <c r="O139" s="226"/>
      <c r="P139" s="227" t="str">
        <f>'Rail (EXW)'!E5</f>
        <v>4.16/4.25/4.30</v>
      </c>
    </row>
    <row r="140" spans="1:16">
      <c r="A140" s="225" t="s">
        <v>337</v>
      </c>
      <c r="B140" s="225" t="s">
        <v>338</v>
      </c>
      <c r="C140" s="225" t="str">
        <f t="shared" si="0"/>
        <v>40 HC</v>
      </c>
      <c r="D140" s="226" t="str">
        <f>'Rail (EXW)'!A6</f>
        <v>Luoyang/Jiaozuo</v>
      </c>
      <c r="E140" s="226" t="str">
        <f>'Rail (EXW)'!G6</f>
        <v>Erlian</v>
      </c>
      <c r="F140" s="226" t="str">
        <f>'Rail (EXW)'!C6</f>
        <v>Moscow</v>
      </c>
      <c r="G140" s="230">
        <f>'Rail (EXW)'!D6</f>
        <v>4400</v>
      </c>
      <c r="H140" s="225" t="s">
        <v>56</v>
      </c>
      <c r="I140" s="226" t="str">
        <f>'Rail (EXW)'!H6</f>
        <v>Elektrougli</v>
      </c>
      <c r="J140" s="226"/>
      <c r="K140" s="225"/>
      <c r="L140" s="226"/>
      <c r="M140" s="225"/>
      <c r="N140" s="226"/>
      <c r="O140" s="226"/>
      <c r="P140" s="227" t="str">
        <f>'Rail (EXW)'!E6</f>
        <v>4.16/4.25/4.30</v>
      </c>
    </row>
    <row r="141" spans="1:16">
      <c r="A141" s="225" t="s">
        <v>337</v>
      </c>
      <c r="B141" s="225" t="s">
        <v>338</v>
      </c>
      <c r="C141" s="225" t="str">
        <f t="shared" si="0"/>
        <v>40 HC</v>
      </c>
      <c r="D141" s="226" t="str">
        <f>'Rail (EXW)'!A7</f>
        <v>Xiamen</v>
      </c>
      <c r="E141" s="226" t="str">
        <f>'Rail (EXW)'!G7</f>
        <v>Erlian</v>
      </c>
      <c r="F141" s="226" t="str">
        <f>'Rail (EXW)'!C7</f>
        <v>Moscow</v>
      </c>
      <c r="G141" s="230">
        <f>'Rail (EXW)'!D7</f>
        <v>5700</v>
      </c>
      <c r="H141" s="225" t="s">
        <v>56</v>
      </c>
      <c r="I141" s="226" t="str">
        <f>'Rail (EXW)'!H7</f>
        <v>Elektrougli</v>
      </c>
      <c r="J141" s="226"/>
      <c r="K141" s="225"/>
      <c r="L141" s="226"/>
      <c r="M141" s="225"/>
      <c r="N141" s="226"/>
      <c r="O141" s="226"/>
      <c r="P141" s="227" t="str">
        <f>'Rail (EXW)'!E7</f>
        <v>4.16/4.25/4.30</v>
      </c>
    </row>
    <row r="142" spans="1:16">
      <c r="A142" s="225" t="s">
        <v>337</v>
      </c>
      <c r="B142" s="225" t="s">
        <v>338</v>
      </c>
      <c r="C142" s="225" t="str">
        <f t="shared" si="0"/>
        <v>40 HC</v>
      </c>
      <c r="D142" s="226" t="str">
        <f>'Rail (EXW)'!A8</f>
        <v>Guangzhou</v>
      </c>
      <c r="E142" s="226" t="str">
        <f>'Rail (EXW)'!G8</f>
        <v>Erlian</v>
      </c>
      <c r="F142" s="226" t="str">
        <f>'Rail (EXW)'!C8</f>
        <v>Moscow</v>
      </c>
      <c r="G142" s="230">
        <f>'Rail (EXW)'!D8</f>
        <v>5550</v>
      </c>
      <c r="H142" s="225" t="s">
        <v>56</v>
      </c>
      <c r="I142" s="226" t="str">
        <f>'Rail (EXW)'!H8</f>
        <v>Elektrougli</v>
      </c>
      <c r="J142" s="226"/>
      <c r="K142" s="225"/>
      <c r="L142" s="226"/>
      <c r="M142" s="225"/>
      <c r="N142" s="226"/>
      <c r="O142" s="226"/>
      <c r="P142" s="227" t="str">
        <f>'Rail (EXW)'!E8</f>
        <v>4.16/4.25/4.30</v>
      </c>
    </row>
    <row r="143" spans="1:16">
      <c r="A143" s="225" t="s">
        <v>337</v>
      </c>
      <c r="B143" s="225" t="s">
        <v>338</v>
      </c>
      <c r="C143" s="225" t="str">
        <f t="shared" si="0"/>
        <v>40 HC</v>
      </c>
      <c r="D143" s="226" t="str">
        <f>'Rail (EXW)'!A9</f>
        <v>Shenzhen</v>
      </c>
      <c r="E143" s="226" t="str">
        <f>'Rail (EXW)'!G9</f>
        <v>Erlian</v>
      </c>
      <c r="F143" s="226" t="str">
        <f>'Rail (EXW)'!C9</f>
        <v>Moscow</v>
      </c>
      <c r="G143" s="230">
        <f>'Rail (EXW)'!D9</f>
        <v>5500</v>
      </c>
      <c r="H143" s="225" t="s">
        <v>56</v>
      </c>
      <c r="I143" s="226" t="str">
        <f>'Rail (EXW)'!H9</f>
        <v>Elektrougli</v>
      </c>
      <c r="J143" s="226"/>
      <c r="K143" s="225"/>
      <c r="L143" s="226"/>
      <c r="M143" s="225"/>
      <c r="N143" s="226"/>
      <c r="O143" s="226"/>
      <c r="P143" s="227" t="str">
        <f>'Rail (EXW)'!E9</f>
        <v>4.16/4.25/4.30</v>
      </c>
    </row>
    <row r="144" spans="1:16">
      <c r="A144" s="225" t="s">
        <v>337</v>
      </c>
      <c r="B144" s="225" t="s">
        <v>338</v>
      </c>
      <c r="C144" s="225" t="str">
        <f t="shared" si="0"/>
        <v>40 HC</v>
      </c>
      <c r="D144" s="226" t="str">
        <f>'Rail (EXW)'!A10</f>
        <v>Zhongshan</v>
      </c>
      <c r="E144" s="226" t="str">
        <f>'Rail (EXW)'!G10</f>
        <v>Erlian</v>
      </c>
      <c r="F144" s="226" t="str">
        <f>'Rail (EXW)'!C10</f>
        <v>Moscow</v>
      </c>
      <c r="G144" s="230">
        <f>'Rail (EXW)'!D10</f>
        <v>5600</v>
      </c>
      <c r="H144" s="225" t="s">
        <v>56</v>
      </c>
      <c r="I144" s="226" t="str">
        <f>'Rail (EXW)'!H10</f>
        <v>Elektrougli</v>
      </c>
      <c r="J144" s="226"/>
      <c r="K144" s="225"/>
      <c r="L144" s="226"/>
      <c r="M144" s="225"/>
      <c r="N144" s="226"/>
      <c r="O144" s="226"/>
      <c r="P144" s="227" t="str">
        <f>'Rail (EXW)'!E10</f>
        <v>4.16/4.25/4.30</v>
      </c>
    </row>
    <row r="145" spans="1:16">
      <c r="A145" s="225" t="s">
        <v>337</v>
      </c>
      <c r="B145" s="225" t="s">
        <v>338</v>
      </c>
      <c r="C145" s="225" t="str">
        <f t="shared" si="0"/>
        <v>40 HC</v>
      </c>
      <c r="D145" s="226">
        <f>'Rail (EXW)'!A11</f>
        <v>0</v>
      </c>
      <c r="E145" s="226">
        <f>'Rail (EXW)'!G11</f>
        <v>0</v>
      </c>
      <c r="F145" s="226">
        <f>'Rail (EXW)'!C11</f>
        <v>0</v>
      </c>
      <c r="G145" s="230">
        <f>'Rail (EXW)'!D11</f>
        <v>0</v>
      </c>
      <c r="H145" s="225" t="s">
        <v>56</v>
      </c>
      <c r="I145" s="226">
        <f>'Rail (EXW)'!H11</f>
        <v>0</v>
      </c>
      <c r="J145" s="226"/>
      <c r="K145" s="225"/>
      <c r="L145" s="226"/>
      <c r="M145" s="225"/>
      <c r="N145" s="226"/>
      <c r="O145" s="226"/>
      <c r="P145" s="227">
        <f>'Rail (EXW)'!E11</f>
        <v>0</v>
      </c>
    </row>
    <row r="146" spans="1:16">
      <c r="A146" s="225" t="s">
        <v>337</v>
      </c>
      <c r="B146" s="225" t="s">
        <v>338</v>
      </c>
      <c r="C146" s="225" t="str">
        <f t="shared" si="0"/>
        <v>40 HC</v>
      </c>
      <c r="D146" s="226" t="str">
        <f>'Rail (EXW)'!A12</f>
        <v>Shijiazhuang/Hengshui/Tianjin</v>
      </c>
      <c r="E146" s="226" t="str">
        <f>'Rail (EXW)'!G12</f>
        <v>Erlian</v>
      </c>
      <c r="F146" s="226" t="str">
        <f>'Rail (EXW)'!C12</f>
        <v>Moscow</v>
      </c>
      <c r="G146" s="230">
        <f>'Rail (EXW)'!D12</f>
        <v>4650</v>
      </c>
      <c r="H146" s="225" t="s">
        <v>56</v>
      </c>
      <c r="I146" s="226" t="str">
        <f>'Rail (EXW)'!H12</f>
        <v>Elektrougli</v>
      </c>
      <c r="J146" s="226"/>
      <c r="K146" s="225"/>
      <c r="L146" s="226"/>
      <c r="M146" s="225"/>
      <c r="N146" s="226"/>
      <c r="O146" s="226"/>
      <c r="P146" s="227" t="str">
        <f>'Rail (EXW)'!E12</f>
        <v>4.25/4.29</v>
      </c>
    </row>
    <row r="147" spans="1:16">
      <c r="A147" s="225" t="s">
        <v>337</v>
      </c>
      <c r="B147" s="225" t="s">
        <v>338</v>
      </c>
      <c r="C147" s="225" t="str">
        <f t="shared" si="0"/>
        <v>40 HC</v>
      </c>
      <c r="D147" s="226" t="str">
        <f>'Rail (EXW)'!A13</f>
        <v>Beijing</v>
      </c>
      <c r="E147" s="226" t="str">
        <f>'Rail (EXW)'!G13</f>
        <v>Erlian</v>
      </c>
      <c r="F147" s="226" t="str">
        <f>'Rail (EXW)'!C13</f>
        <v>Moscow</v>
      </c>
      <c r="G147" s="230">
        <f>'Rail (EXW)'!D13</f>
        <v>4800</v>
      </c>
      <c r="H147" s="225" t="s">
        <v>56</v>
      </c>
      <c r="I147" s="226" t="str">
        <f>'Rail (EXW)'!H13</f>
        <v>Elektrougli</v>
      </c>
      <c r="J147" s="226"/>
      <c r="K147" s="225"/>
      <c r="L147" s="226"/>
      <c r="M147" s="225"/>
      <c r="N147" s="226"/>
      <c r="O147" s="226"/>
      <c r="P147" s="227" t="str">
        <f>'Rail (EXW)'!E13</f>
        <v>4.25/4.29</v>
      </c>
    </row>
    <row r="148" spans="1:16">
      <c r="A148" s="225" t="s">
        <v>337</v>
      </c>
      <c r="B148" s="225" t="s">
        <v>338</v>
      </c>
      <c r="C148" s="225" t="str">
        <f t="shared" si="0"/>
        <v>40 HC</v>
      </c>
      <c r="D148" s="226" t="str">
        <f>'Rail (EXW)'!A14</f>
        <v>Jianan/Qingdao</v>
      </c>
      <c r="E148" s="226" t="str">
        <f>'Rail (EXW)'!G14</f>
        <v>Erlian</v>
      </c>
      <c r="F148" s="226" t="str">
        <f>'Rail (EXW)'!C14</f>
        <v>Moscow</v>
      </c>
      <c r="G148" s="230">
        <f>'Rail (EXW)'!D14</f>
        <v>4850</v>
      </c>
      <c r="H148" s="225" t="s">
        <v>56</v>
      </c>
      <c r="I148" s="226" t="str">
        <f>'Rail (EXW)'!H14</f>
        <v>Elektrougli</v>
      </c>
      <c r="J148" s="226"/>
      <c r="K148" s="225"/>
      <c r="L148" s="226"/>
      <c r="M148" s="225"/>
      <c r="N148" s="226"/>
      <c r="O148" s="226"/>
      <c r="P148" s="227" t="str">
        <f>'Rail (EXW)'!E14</f>
        <v>4.25/4.29</v>
      </c>
    </row>
    <row r="149" spans="1:16">
      <c r="A149" s="225" t="s">
        <v>337</v>
      </c>
      <c r="B149" s="225" t="s">
        <v>338</v>
      </c>
      <c r="C149" s="225" t="str">
        <f t="shared" si="0"/>
        <v>40 HC</v>
      </c>
      <c r="D149" s="226" t="str">
        <f>'Rail (EXW)'!A15</f>
        <v>Tengzhou</v>
      </c>
      <c r="E149" s="226" t="str">
        <f>'Rail (EXW)'!G15</f>
        <v>Erlian</v>
      </c>
      <c r="F149" s="226" t="str">
        <f>'Rail (EXW)'!C15</f>
        <v>Moscow</v>
      </c>
      <c r="G149" s="230">
        <f>'Rail (EXW)'!D15</f>
        <v>5000</v>
      </c>
      <c r="H149" s="225" t="s">
        <v>56</v>
      </c>
      <c r="I149" s="226" t="str">
        <f>'Rail (EXW)'!H15</f>
        <v>Elektrougli</v>
      </c>
      <c r="J149" s="226"/>
      <c r="K149" s="225"/>
      <c r="L149" s="226"/>
      <c r="M149" s="225"/>
      <c r="N149" s="226"/>
      <c r="O149" s="226"/>
      <c r="P149" s="227" t="str">
        <f>'Rail (EXW)'!E15</f>
        <v>4.25/4.29</v>
      </c>
    </row>
    <row r="150" spans="1:16">
      <c r="A150" s="205" t="s">
        <v>337</v>
      </c>
      <c r="B150" s="205" t="s">
        <v>338</v>
      </c>
      <c r="C150" s="225" t="str">
        <f t="shared" si="0"/>
        <v>40 HC</v>
      </c>
      <c r="D150" s="226">
        <f>'Rail (EXW)'!A16</f>
        <v>0</v>
      </c>
      <c r="E150" s="226">
        <f>'Rail (EXW)'!G16</f>
        <v>0</v>
      </c>
      <c r="F150" s="226">
        <f>'Rail (EXW)'!C16</f>
        <v>0</v>
      </c>
      <c r="G150" s="230">
        <f>'Rail (EXW)'!D16</f>
        <v>0</v>
      </c>
      <c r="H150" s="225" t="s">
        <v>56</v>
      </c>
      <c r="I150" s="226">
        <f>'Rail (EXW)'!H16</f>
        <v>0</v>
      </c>
      <c r="K150" s="205"/>
      <c r="M150" s="205"/>
      <c r="P150" s="206">
        <f>'Rail (EXW)'!E16</f>
        <v>0</v>
      </c>
    </row>
    <row r="151" spans="1:16">
      <c r="A151" s="225" t="s">
        <v>337</v>
      </c>
      <c r="B151" s="225" t="s">
        <v>338</v>
      </c>
      <c r="C151" s="225" t="str">
        <f t="shared" si="0"/>
        <v>40 HC</v>
      </c>
      <c r="D151" s="226" t="str">
        <f>'Rail (EXW)'!A17</f>
        <v>Shanghai/Suzhou/Changzhou/Zhenjiang/Nantong</v>
      </c>
      <c r="E151" s="226" t="str">
        <f>'Rail (EXW)'!G17</f>
        <v>Khorgos</v>
      </c>
      <c r="F151" s="226" t="str">
        <f>'Rail (EXW)'!C17</f>
        <v>Moscow</v>
      </c>
      <c r="G151" s="230">
        <f>'Rail (EXW)'!D17</f>
        <v>5280</v>
      </c>
      <c r="H151" s="225" t="s">
        <v>56</v>
      </c>
      <c r="I151" s="226" t="str">
        <f>'Rail (EXW)'!H17</f>
        <v>Elektrougli</v>
      </c>
      <c r="J151" s="226"/>
      <c r="K151" s="225"/>
      <c r="L151" s="226"/>
      <c r="M151" s="225"/>
      <c r="N151" s="226"/>
      <c r="O151" s="226"/>
      <c r="P151" s="227">
        <f>'Rail (EXW)'!E17</f>
        <v>45773</v>
      </c>
    </row>
    <row r="152" spans="1:16">
      <c r="A152" s="225" t="s">
        <v>337</v>
      </c>
      <c r="B152" s="225" t="s">
        <v>338</v>
      </c>
      <c r="C152" s="225" t="str">
        <f t="shared" si="0"/>
        <v>40 HC</v>
      </c>
      <c r="D152" s="226" t="str">
        <f>'Rail (EXW)'!A18</f>
        <v>Tianjin</v>
      </c>
      <c r="E152" s="226" t="str">
        <f>'Rail (EXW)'!G18</f>
        <v>Khorgos</v>
      </c>
      <c r="F152" s="226" t="str">
        <f>'Rail (EXW)'!C18</f>
        <v>Moscow</v>
      </c>
      <c r="G152" s="230">
        <f>'Rail (EXW)'!D18</f>
        <v>5230</v>
      </c>
      <c r="H152" s="225" t="s">
        <v>56</v>
      </c>
      <c r="I152" s="226" t="str">
        <f>'Rail (EXW)'!H18</f>
        <v>Elektrougli</v>
      </c>
      <c r="J152" s="226"/>
      <c r="K152" s="225"/>
      <c r="L152" s="226"/>
      <c r="M152" s="225"/>
      <c r="N152" s="226"/>
      <c r="O152" s="226"/>
      <c r="P152" s="227">
        <f>'Rail (EXW)'!E18</f>
        <v>45773</v>
      </c>
    </row>
    <row r="153" spans="1:16">
      <c r="A153" s="225" t="s">
        <v>337</v>
      </c>
      <c r="B153" s="225" t="s">
        <v>338</v>
      </c>
      <c r="C153" s="225" t="str">
        <f t="shared" si="0"/>
        <v>40 HC</v>
      </c>
      <c r="D153" s="226" t="str">
        <f>'Rail (EXW)'!A19</f>
        <v>Qingdao</v>
      </c>
      <c r="E153" s="226" t="str">
        <f>'Rail (EXW)'!G19</f>
        <v>Khorgos</v>
      </c>
      <c r="F153" s="226" t="str">
        <f>'Rail (EXW)'!C19</f>
        <v>Moscow</v>
      </c>
      <c r="G153" s="230">
        <f>'Rail (EXW)'!D19</f>
        <v>5150</v>
      </c>
      <c r="H153" s="225" t="s">
        <v>56</v>
      </c>
      <c r="I153" s="226" t="str">
        <f>'Rail (EXW)'!H19</f>
        <v>Elektrougli</v>
      </c>
      <c r="J153" s="226"/>
      <c r="K153" s="225"/>
      <c r="L153" s="226"/>
      <c r="M153" s="225"/>
      <c r="N153" s="226"/>
      <c r="O153" s="226"/>
      <c r="P153" s="227">
        <f>'Rail (EXW)'!E19</f>
        <v>45773</v>
      </c>
    </row>
    <row r="154" spans="1:16">
      <c r="A154" s="205" t="s">
        <v>337</v>
      </c>
      <c r="B154" s="205" t="s">
        <v>338</v>
      </c>
      <c r="C154" s="225" t="str">
        <f t="shared" si="0"/>
        <v>40 HC</v>
      </c>
      <c r="D154" s="226">
        <f>'Rail (EXW)'!A20</f>
        <v>0</v>
      </c>
      <c r="E154" s="226">
        <f>'Rail (EXW)'!G20</f>
        <v>0</v>
      </c>
      <c r="F154" s="226">
        <f>'Rail (EXW)'!C20</f>
        <v>0</v>
      </c>
      <c r="G154" s="230">
        <f>'Rail (EXW)'!D20</f>
        <v>0</v>
      </c>
      <c r="H154" s="225" t="s">
        <v>56</v>
      </c>
      <c r="I154" s="226">
        <f>'Rail (EXW)'!H20</f>
        <v>0</v>
      </c>
      <c r="K154" s="205"/>
      <c r="M154" s="205"/>
      <c r="P154" s="206">
        <f>'Rail (EXW)'!E20</f>
        <v>0</v>
      </c>
    </row>
    <row r="155" spans="1:16">
      <c r="A155" s="225" t="s">
        <v>337</v>
      </c>
      <c r="B155" s="225" t="s">
        <v>338</v>
      </c>
      <c r="C155" s="225" t="str">
        <f t="shared" si="0"/>
        <v>40 HC</v>
      </c>
      <c r="D155" s="226" t="str">
        <f>'Rail (EXW)'!A21</f>
        <v>Tianjin/Binhai</v>
      </c>
      <c r="E155" s="226" t="str">
        <f>'Rail (EXW)'!G21</f>
        <v>Erlian</v>
      </c>
      <c r="F155" s="226" t="str">
        <f>'Rail (EXW)'!C21</f>
        <v>Moscow</v>
      </c>
      <c r="G155" s="230">
        <f>'Rail (EXW)'!D21</f>
        <v>4250</v>
      </c>
      <c r="H155" s="225" t="s">
        <v>56</v>
      </c>
      <c r="I155" s="226" t="str">
        <f>'Rail (EXW)'!H21</f>
        <v>Bely rast</v>
      </c>
      <c r="J155" s="226"/>
      <c r="K155" s="225"/>
      <c r="L155" s="226"/>
      <c r="M155" s="225"/>
      <c r="N155" s="226"/>
      <c r="O155" s="226"/>
      <c r="P155" s="227" t="str">
        <f>'Rail (EXW)'!E21</f>
        <v>4.17/4.24</v>
      </c>
    </row>
    <row r="156" spans="1:16">
      <c r="A156" s="225" t="s">
        <v>337</v>
      </c>
      <c r="B156" s="225" t="s">
        <v>338</v>
      </c>
      <c r="C156" s="225" t="str">
        <f t="shared" si="0"/>
        <v>40 HC</v>
      </c>
      <c r="D156" s="226" t="str">
        <f>'Rail (EXW)'!A22</f>
        <v>Qingdao/Shouguang/Zibo/Weifang</v>
      </c>
      <c r="E156" s="226" t="str">
        <f>'Rail (EXW)'!G22</f>
        <v>Erlian</v>
      </c>
      <c r="F156" s="226" t="str">
        <f>'Rail (EXW)'!C22</f>
        <v>Moscow</v>
      </c>
      <c r="G156" s="230">
        <f>'Rail (EXW)'!D22</f>
        <v>4550</v>
      </c>
      <c r="H156" s="225" t="s">
        <v>56</v>
      </c>
      <c r="I156" s="226" t="str">
        <f>'Rail (EXW)'!H22</f>
        <v>Bely rast</v>
      </c>
      <c r="J156" s="226"/>
      <c r="K156" s="225"/>
      <c r="L156" s="226"/>
      <c r="M156" s="225"/>
      <c r="N156" s="226"/>
      <c r="O156" s="226"/>
      <c r="P156" s="227" t="str">
        <f>'Rail (EXW)'!E22</f>
        <v>4.17/4.24</v>
      </c>
    </row>
    <row r="157" spans="1:16">
      <c r="A157" s="225" t="s">
        <v>337</v>
      </c>
      <c r="B157" s="225" t="s">
        <v>338</v>
      </c>
      <c r="C157" s="225" t="str">
        <f t="shared" si="0"/>
        <v>40 HC</v>
      </c>
      <c r="D157" s="226" t="str">
        <f>'Rail (EXW)'!A23</f>
        <v>Langfang/Cangzhou</v>
      </c>
      <c r="E157" s="226" t="str">
        <f>'Rail (EXW)'!G23</f>
        <v>Erlian</v>
      </c>
      <c r="F157" s="226" t="str">
        <f>'Rail (EXW)'!C23</f>
        <v>Moscow</v>
      </c>
      <c r="G157" s="230">
        <f>'Rail (EXW)'!D23</f>
        <v>4350</v>
      </c>
      <c r="H157" s="225" t="s">
        <v>56</v>
      </c>
      <c r="I157" s="226" t="str">
        <f>'Rail (EXW)'!H23</f>
        <v>Bely rast</v>
      </c>
      <c r="J157" s="226"/>
      <c r="K157" s="225"/>
      <c r="L157" s="226"/>
      <c r="M157" s="225"/>
      <c r="N157" s="226"/>
      <c r="O157" s="226"/>
      <c r="P157" s="227" t="str">
        <f>'Rail (EXW)'!E23</f>
        <v>4.17/4.24</v>
      </c>
    </row>
    <row r="158" spans="1:16">
      <c r="A158" s="225" t="s">
        <v>337</v>
      </c>
      <c r="B158" s="225" t="s">
        <v>338</v>
      </c>
      <c r="C158" s="225" t="str">
        <f t="shared" si="0"/>
        <v>40 HC</v>
      </c>
      <c r="D158" s="226" t="str">
        <f>'Rail (EXW)'!A24</f>
        <v>Tangshan</v>
      </c>
      <c r="E158" s="226" t="str">
        <f>'Rail (EXW)'!G24</f>
        <v>Erlian</v>
      </c>
      <c r="F158" s="226" t="str">
        <f>'Rail (EXW)'!C24</f>
        <v>Moscow</v>
      </c>
      <c r="G158" s="230">
        <f>'Rail (EXW)'!D24</f>
        <v>4350</v>
      </c>
      <c r="H158" s="225" t="s">
        <v>56</v>
      </c>
      <c r="I158" s="226" t="str">
        <f>'Rail (EXW)'!H24</f>
        <v>Bely rast</v>
      </c>
      <c r="J158" s="226"/>
      <c r="K158" s="225"/>
      <c r="L158" s="226"/>
      <c r="M158" s="225"/>
      <c r="N158" s="226"/>
      <c r="O158" s="226"/>
      <c r="P158" s="227" t="str">
        <f>'Rail (EXW)'!E24</f>
        <v>4.17/4.24</v>
      </c>
    </row>
    <row r="159" spans="1:16">
      <c r="A159" s="225" t="s">
        <v>337</v>
      </c>
      <c r="B159" s="225" t="s">
        <v>338</v>
      </c>
      <c r="C159" s="225" t="str">
        <f t="shared" si="0"/>
        <v>40 HC</v>
      </c>
      <c r="D159" s="226" t="str">
        <f>'Rail (EXW)'!A25</f>
        <v>Beijing/Shunyi/Tongzhou</v>
      </c>
      <c r="E159" s="226" t="str">
        <f>'Rail (EXW)'!G25</f>
        <v>Erlian</v>
      </c>
      <c r="F159" s="226" t="str">
        <f>'Rail (EXW)'!C25</f>
        <v>Moscow</v>
      </c>
      <c r="G159" s="230">
        <f>'Rail (EXW)'!D25</f>
        <v>4450</v>
      </c>
      <c r="H159" s="225" t="s">
        <v>56</v>
      </c>
      <c r="I159" s="226" t="str">
        <f>'Rail (EXW)'!H25</f>
        <v>Bely rast</v>
      </c>
      <c r="J159" s="226"/>
      <c r="K159" s="225"/>
      <c r="L159" s="226"/>
      <c r="M159" s="225"/>
      <c r="N159" s="226"/>
      <c r="O159" s="226"/>
      <c r="P159" s="227" t="str">
        <f>'Rail (EXW)'!E25</f>
        <v>4.17/4.24</v>
      </c>
    </row>
    <row r="160" spans="1:16">
      <c r="A160" s="225" t="s">
        <v>337</v>
      </c>
      <c r="B160" s="225" t="s">
        <v>338</v>
      </c>
      <c r="C160" s="225" t="str">
        <f t="shared" si="0"/>
        <v>40 HC</v>
      </c>
      <c r="D160" s="226" t="str">
        <f>'Rail (EXW)'!A26</f>
        <v>Shanghai/Suzhou</v>
      </c>
      <c r="E160" s="226" t="str">
        <f>'Rail (EXW)'!G26</f>
        <v>Erlian</v>
      </c>
      <c r="F160" s="226" t="str">
        <f>'Rail (EXW)'!C26</f>
        <v>Moscow</v>
      </c>
      <c r="G160" s="230">
        <f>'Rail (EXW)'!D26</f>
        <v>4900</v>
      </c>
      <c r="H160" s="225" t="s">
        <v>56</v>
      </c>
      <c r="I160" s="226" t="str">
        <f>'Rail (EXW)'!H26</f>
        <v>Bely rast</v>
      </c>
      <c r="J160" s="226"/>
      <c r="K160" s="225"/>
      <c r="L160" s="226"/>
      <c r="M160" s="225"/>
      <c r="N160" s="226"/>
      <c r="O160" s="226"/>
      <c r="P160" s="227" t="str">
        <f>'Rail (EXW)'!E26</f>
        <v>4.17/4.24</v>
      </c>
    </row>
    <row r="161" spans="1:17">
      <c r="A161" s="225" t="s">
        <v>337</v>
      </c>
      <c r="B161" s="225" t="s">
        <v>338</v>
      </c>
      <c r="C161" s="225" t="str">
        <f t="shared" si="0"/>
        <v>40 HC</v>
      </c>
      <c r="D161" s="226" t="str">
        <f>'Rail (EXW)'!A27</f>
        <v>Ningbo</v>
      </c>
      <c r="E161" s="226" t="str">
        <f>'Rail (EXW)'!G27</f>
        <v>Erlian</v>
      </c>
      <c r="F161" s="226" t="str">
        <f>'Rail (EXW)'!C27</f>
        <v>Moscow</v>
      </c>
      <c r="G161" s="230">
        <f>'Rail (EXW)'!D27</f>
        <v>5050</v>
      </c>
      <c r="H161" s="225" t="s">
        <v>56</v>
      </c>
      <c r="I161" s="226" t="str">
        <f>'Rail (EXW)'!H27</f>
        <v>Bely rast</v>
      </c>
      <c r="J161" s="226"/>
      <c r="K161" s="225"/>
      <c r="L161" s="226"/>
      <c r="M161" s="225"/>
      <c r="N161" s="226"/>
      <c r="O161" s="226"/>
      <c r="P161" s="227" t="str">
        <f>'Rail (EXW)'!E27</f>
        <v>4.17/4.24</v>
      </c>
    </row>
    <row r="162" spans="1:17">
      <c r="A162" s="225" t="s">
        <v>337</v>
      </c>
      <c r="B162" s="225" t="s">
        <v>338</v>
      </c>
      <c r="C162" s="225" t="str">
        <f t="shared" si="0"/>
        <v>40 HC</v>
      </c>
      <c r="D162" s="226" t="str">
        <f>'Rail (EXW)'!A28</f>
        <v>Xingtai</v>
      </c>
      <c r="E162" s="226" t="str">
        <f>'Rail (EXW)'!G28</f>
        <v>Erlian</v>
      </c>
      <c r="F162" s="226" t="str">
        <f>'Rail (EXW)'!C28</f>
        <v>Moscow</v>
      </c>
      <c r="G162" s="230">
        <f>'Rail (EXW)'!D28</f>
        <v>4400</v>
      </c>
      <c r="H162" s="225" t="s">
        <v>56</v>
      </c>
      <c r="I162" s="226" t="str">
        <f>'Rail (EXW)'!H28</f>
        <v>Bely rast</v>
      </c>
      <c r="J162" s="226"/>
      <c r="K162" s="225"/>
      <c r="L162" s="226"/>
      <c r="M162" s="225"/>
      <c r="N162" s="226"/>
      <c r="O162" s="226"/>
      <c r="P162" s="227" t="str">
        <f>'Rail (EXW)'!E28</f>
        <v>4.17/4.24</v>
      </c>
    </row>
    <row r="163" spans="1:17">
      <c r="A163" s="225" t="s">
        <v>337</v>
      </c>
      <c r="B163" s="225" t="s">
        <v>338</v>
      </c>
      <c r="C163" s="225" t="str">
        <f t="shared" si="0"/>
        <v>40 HC</v>
      </c>
      <c r="D163" s="226" t="str">
        <f>'Rail (EXW)'!A29</f>
        <v>Jinan/Shouguang</v>
      </c>
      <c r="E163" s="226" t="str">
        <f>'Rail (EXW)'!G29</f>
        <v>Erlian</v>
      </c>
      <c r="F163" s="226" t="str">
        <f>'Rail (EXW)'!C29</f>
        <v>Moscow</v>
      </c>
      <c r="G163" s="230">
        <f>'Rail (EXW)'!D29</f>
        <v>4550</v>
      </c>
      <c r="H163" s="225" t="s">
        <v>56</v>
      </c>
      <c r="I163" s="226" t="str">
        <f>'Rail (EXW)'!H29</f>
        <v>Bely rast</v>
      </c>
      <c r="J163" s="226"/>
      <c r="K163" s="225"/>
      <c r="L163" s="226"/>
      <c r="M163" s="225"/>
      <c r="N163" s="226"/>
      <c r="O163" s="226"/>
      <c r="P163" s="227" t="str">
        <f>'Rail (EXW)'!E29</f>
        <v>4.17/4.24</v>
      </c>
    </row>
    <row r="164" spans="1:17">
      <c r="A164" s="205" t="s">
        <v>337</v>
      </c>
      <c r="B164" s="205" t="s">
        <v>338</v>
      </c>
      <c r="C164" s="225" t="str">
        <f t="shared" si="0"/>
        <v>40 HC</v>
      </c>
      <c r="D164" s="226">
        <f>'Rail (EXW)'!A30</f>
        <v>0</v>
      </c>
      <c r="E164" s="226">
        <f>'Rail (EXW)'!G30</f>
        <v>0</v>
      </c>
      <c r="F164" s="226">
        <f>'Rail (EXW)'!C30</f>
        <v>0</v>
      </c>
      <c r="G164" s="230">
        <f>'Rail (EXW)'!D30</f>
        <v>0</v>
      </c>
      <c r="H164" s="225" t="s">
        <v>56</v>
      </c>
      <c r="I164" s="226">
        <f>'Rail (EXW)'!H30</f>
        <v>0</v>
      </c>
      <c r="K164" s="205"/>
      <c r="M164" s="205"/>
      <c r="P164" s="206">
        <f>'Rail (EXW)'!E30</f>
        <v>0</v>
      </c>
    </row>
    <row r="165" spans="1:17">
      <c r="A165" s="225" t="s">
        <v>337</v>
      </c>
      <c r="B165" s="225" t="s">
        <v>338</v>
      </c>
      <c r="C165" s="225" t="str">
        <f t="shared" si="0"/>
        <v>40 HC</v>
      </c>
      <c r="D165" s="226" t="str">
        <f>'Rail (EXW)'!A31</f>
        <v>Chongqing</v>
      </c>
      <c r="E165" s="226" t="e" vm="2">
        <f ca="1">'Rail (EXW)'!G31</f>
        <v>#VALUE!</v>
      </c>
      <c r="F165" s="226" t="str">
        <f>'Rail (EXW)'!C31</f>
        <v>Moscow</v>
      </c>
      <c r="G165" s="230">
        <f>'Rail (EXW)'!D31</f>
        <v>3600</v>
      </c>
      <c r="H165" s="225" t="s">
        <v>56</v>
      </c>
      <c r="I165" s="226" t="str">
        <f>'Rail (EXW)'!H31</f>
        <v>Elektrougli/Selyatino</v>
      </c>
      <c r="J165" s="226"/>
      <c r="K165" s="225"/>
      <c r="L165" s="226"/>
      <c r="M165" s="225"/>
      <c r="N165" s="226"/>
      <c r="O165" s="226"/>
      <c r="P165" s="227" t="str">
        <f>'Rail (EXW)'!E31</f>
        <v>4.16/4.19/4.23/4.26</v>
      </c>
      <c r="Q165" s="226"/>
    </row>
    <row r="166" spans="1:17">
      <c r="A166" s="225" t="s">
        <v>337</v>
      </c>
      <c r="B166" s="225" t="s">
        <v>338</v>
      </c>
      <c r="C166" s="225" t="str">
        <f t="shared" si="0"/>
        <v>40 HC</v>
      </c>
      <c r="D166" s="226" t="str">
        <f>'Rail (EXW)'!A32</f>
        <v>Chengdu</v>
      </c>
      <c r="E166" s="226" t="e" vm="2">
        <f ca="1">'Rail (EXW)'!G32</f>
        <v>#VALUE!</v>
      </c>
      <c r="F166" s="226" t="str">
        <f>'Rail (EXW)'!C32</f>
        <v>Moscow</v>
      </c>
      <c r="G166" s="230">
        <f>'Rail (EXW)'!D32</f>
        <v>3750</v>
      </c>
      <c r="H166" s="225" t="s">
        <v>56</v>
      </c>
      <c r="I166" s="226" t="str">
        <f>'Rail (EXW)'!H32</f>
        <v>Shushary</v>
      </c>
      <c r="J166" s="226"/>
      <c r="K166" s="225"/>
      <c r="L166" s="226"/>
      <c r="M166" s="225"/>
      <c r="N166" s="226"/>
      <c r="O166" s="226"/>
      <c r="P166" s="227" t="str">
        <f>'Rail (EXW)'!E32</f>
        <v>4.16/4.19/4.23/4.26</v>
      </c>
      <c r="Q166" s="226"/>
    </row>
    <row r="167" spans="1:17">
      <c r="A167" s="225" t="s">
        <v>337</v>
      </c>
      <c r="B167" s="225" t="s">
        <v>338</v>
      </c>
      <c r="C167" s="225" t="str">
        <f t="shared" si="0"/>
        <v>40 HC</v>
      </c>
      <c r="D167" s="226" t="str">
        <f>'Rail (EXW)'!A33</f>
        <v>Guangzhou</v>
      </c>
      <c r="E167" s="226" t="e" vm="2">
        <f ca="1">'Rail (EXW)'!G33</f>
        <v>#VALUE!</v>
      </c>
      <c r="F167" s="226" t="str">
        <f>'Rail (EXW)'!C33</f>
        <v>Moscow</v>
      </c>
      <c r="G167" s="230">
        <f>'Rail (EXW)'!D33</f>
        <v>4600</v>
      </c>
      <c r="H167" s="225" t="s">
        <v>56</v>
      </c>
      <c r="I167" s="226" t="str">
        <f>'Rail (EXW)'!H33</f>
        <v>Selyatino</v>
      </c>
      <c r="J167" s="226"/>
      <c r="K167" s="225"/>
      <c r="L167" s="226"/>
      <c r="M167" s="225"/>
      <c r="N167" s="226"/>
      <c r="O167" s="226"/>
      <c r="P167" s="227" t="str">
        <f>'Rail (EXW)'!E33</f>
        <v>4.16/4.19/4.23/4.26</v>
      </c>
      <c r="Q167" s="226"/>
    </row>
    <row r="168" spans="1:17">
      <c r="A168" s="225" t="s">
        <v>337</v>
      </c>
      <c r="B168" s="225" t="s">
        <v>338</v>
      </c>
      <c r="C168" s="225" t="str">
        <f t="shared" si="0"/>
        <v>40 HC</v>
      </c>
      <c r="D168" s="226" t="str">
        <f>'Rail (EXW)'!A34</f>
        <v>Shenzhen/Jiangmen/Qingyuan</v>
      </c>
      <c r="E168" s="226" t="e" vm="2">
        <f ca="1">'Rail (EXW)'!G34</f>
        <v>#VALUE!</v>
      </c>
      <c r="F168" s="226" t="str">
        <f>'Rail (EXW)'!C34</f>
        <v>Moscow</v>
      </c>
      <c r="G168" s="230">
        <f>'Rail (EXW)'!D34</f>
        <v>4700</v>
      </c>
      <c r="H168" s="225" t="s">
        <v>56</v>
      </c>
      <c r="I168" s="226" t="str">
        <f>'Rail (EXW)'!H34</f>
        <v>Kolyadichi</v>
      </c>
      <c r="J168" s="226"/>
      <c r="K168" s="225"/>
      <c r="L168" s="226"/>
      <c r="M168" s="225"/>
      <c r="N168" s="226"/>
      <c r="O168" s="226"/>
      <c r="P168" s="227" t="str">
        <f>'Rail (EXW)'!E34</f>
        <v>4.16/4.19/4.23/4.26</v>
      </c>
      <c r="Q168" s="226"/>
    </row>
    <row r="169" spans="1:17">
      <c r="A169" s="225" t="s">
        <v>337</v>
      </c>
      <c r="B169" s="225" t="s">
        <v>338</v>
      </c>
      <c r="C169" s="225" t="str">
        <f t="shared" si="0"/>
        <v>40 HC</v>
      </c>
      <c r="D169" s="226" t="str">
        <f>'Rail (EXW)'!A35</f>
        <v>Foshan/Shunde/Zhongshan</v>
      </c>
      <c r="E169" s="226" t="e" vm="2">
        <f ca="1">'Rail (EXW)'!G35</f>
        <v>#VALUE!</v>
      </c>
      <c r="F169" s="226" t="str">
        <f>'Rail (EXW)'!C35</f>
        <v>Moscow</v>
      </c>
      <c r="G169" s="230">
        <f>'Rail (EXW)'!D35</f>
        <v>4650</v>
      </c>
      <c r="H169" s="225" t="s">
        <v>56</v>
      </c>
      <c r="I169" s="226" t="str">
        <f>'Rail (EXW)'!H35</f>
        <v>Yekaterinburg</v>
      </c>
      <c r="J169" s="226"/>
      <c r="K169" s="225"/>
      <c r="L169" s="226"/>
      <c r="M169" s="225"/>
      <c r="N169" s="226"/>
      <c r="O169" s="226"/>
      <c r="P169" s="227" t="str">
        <f>'Rail (EXW)'!E35</f>
        <v>4.16/4.19/4.23/4.26</v>
      </c>
      <c r="Q169" s="226"/>
    </row>
    <row r="170" spans="1:17">
      <c r="A170" s="225" t="s">
        <v>337</v>
      </c>
      <c r="B170" s="225" t="s">
        <v>338</v>
      </c>
      <c r="C170" s="225" t="str">
        <f t="shared" si="0"/>
        <v>40 HC</v>
      </c>
      <c r="D170" s="226" t="str">
        <f>'Rail (EXW)'!A36</f>
        <v>Huizhou/Zhaoqing/Zhuhai/Yunfu</v>
      </c>
      <c r="E170" s="226" t="e" vm="2">
        <f ca="1">'Rail (EXW)'!G36</f>
        <v>#VALUE!</v>
      </c>
      <c r="F170" s="226" t="str">
        <f>'Rail (EXW)'!C36</f>
        <v>Moscow</v>
      </c>
      <c r="G170" s="230">
        <f>'Rail (EXW)'!D36</f>
        <v>4750</v>
      </c>
      <c r="H170" s="225" t="s">
        <v>56</v>
      </c>
      <c r="I170" s="226" t="str">
        <f>'Rail (EXW)'!H36</f>
        <v>Novosibirsk</v>
      </c>
      <c r="J170" s="226"/>
      <c r="K170" s="225"/>
      <c r="L170" s="226"/>
      <c r="M170" s="225"/>
      <c r="N170" s="226"/>
      <c r="O170" s="226"/>
      <c r="P170" s="227" t="str">
        <f>'Rail (EXW)'!E36</f>
        <v>4.16/4.19/4.23/4.26</v>
      </c>
      <c r="Q170" s="226"/>
    </row>
    <row r="171" spans="1:17">
      <c r="A171" s="225" t="s">
        <v>337</v>
      </c>
      <c r="B171" s="225" t="s">
        <v>338</v>
      </c>
      <c r="C171" s="225" t="str">
        <f t="shared" si="0"/>
        <v>40 HC</v>
      </c>
      <c r="D171" s="226" t="str">
        <f>'Rail (EXW)'!A37</f>
        <v>Shantou/Chaozhou</v>
      </c>
      <c r="E171" s="226">
        <f>'Rail (EXW)'!G37</f>
        <v>0</v>
      </c>
      <c r="F171" s="226" t="str">
        <f>'Rail (EXW)'!C37</f>
        <v>Moscow</v>
      </c>
      <c r="G171" s="230">
        <f>'Rail (EXW)'!D37</f>
        <v>5050</v>
      </c>
      <c r="H171" s="225" t="s">
        <v>56</v>
      </c>
      <c r="I171" s="226" t="str">
        <f>'Rail (EXW)'!H37</f>
        <v>Moscow</v>
      </c>
      <c r="J171" s="226"/>
      <c r="K171" s="225"/>
      <c r="L171" s="226"/>
      <c r="M171" s="225"/>
      <c r="N171" s="226"/>
      <c r="O171" s="226"/>
      <c r="P171" s="227" t="str">
        <f>'Rail (EXW)'!E37</f>
        <v>4.16/4.19/4.23/4.26</v>
      </c>
      <c r="Q171" s="226"/>
    </row>
    <row r="172" spans="1:17">
      <c r="A172" s="205" t="s">
        <v>337</v>
      </c>
      <c r="B172" s="205" t="s">
        <v>338</v>
      </c>
      <c r="C172" s="225" t="str">
        <f t="shared" si="0"/>
        <v>40 HC</v>
      </c>
      <c r="D172" s="226">
        <f>'Rail (EXW)'!A38</f>
        <v>0</v>
      </c>
      <c r="E172" s="226">
        <f>'Rail (EXW)'!G38</f>
        <v>0</v>
      </c>
      <c r="F172" s="226">
        <f>'Rail (EXW)'!C38</f>
        <v>0</v>
      </c>
      <c r="G172" s="230">
        <f>'Rail (EXW)'!D38</f>
        <v>0</v>
      </c>
      <c r="H172" s="225" t="s">
        <v>56</v>
      </c>
      <c r="I172" s="226">
        <f>'Rail (EXW)'!H38</f>
        <v>0</v>
      </c>
      <c r="K172" s="205"/>
      <c r="M172" s="205"/>
      <c r="P172" s="206">
        <f>'Rail (EXW)'!E38</f>
        <v>0</v>
      </c>
    </row>
    <row r="173" spans="1:17">
      <c r="A173" s="225" t="s">
        <v>337</v>
      </c>
      <c r="B173" s="225" t="s">
        <v>338</v>
      </c>
      <c r="C173" s="225" t="str">
        <f t="shared" si="0"/>
        <v>40 HC</v>
      </c>
      <c r="D173" s="226" t="str">
        <f>'Rail (EXW)'!A39</f>
        <v>Chengdu</v>
      </c>
      <c r="E173" s="226" t="str">
        <f>'Rail (EXW)'!G39</f>
        <v>Erlian</v>
      </c>
      <c r="F173" s="226" t="str">
        <f>'Rail (EXW)'!C39</f>
        <v>Moscow</v>
      </c>
      <c r="G173" s="230">
        <f>'Rail (EXW)'!D39</f>
        <v>3550</v>
      </c>
      <c r="H173" s="225" t="s">
        <v>56</v>
      </c>
      <c r="I173" s="226" t="str">
        <f>'Rail (EXW)'!H39</f>
        <v>Elektrougli</v>
      </c>
      <c r="J173" s="226"/>
      <c r="K173" s="225"/>
      <c r="L173" s="226"/>
      <c r="M173" s="225"/>
      <c r="N173" s="226"/>
      <c r="O173" s="226"/>
      <c r="P173" s="227" t="str">
        <f>'Rail (EXW)'!E39</f>
        <v>4.18/4.21/4.25/4.29</v>
      </c>
      <c r="Q173" s="226"/>
    </row>
    <row r="174" spans="1:17">
      <c r="A174" s="225" t="s">
        <v>337</v>
      </c>
      <c r="B174" s="225" t="s">
        <v>338</v>
      </c>
      <c r="C174" s="225" t="str">
        <f t="shared" si="0"/>
        <v>40 HC</v>
      </c>
      <c r="D174" s="226" t="str">
        <f>'Rail (EXW)'!A40</f>
        <v>Chongqing</v>
      </c>
      <c r="E174" s="226" t="str">
        <f>'Rail (EXW)'!G40</f>
        <v>Erlian</v>
      </c>
      <c r="F174" s="226" t="str">
        <f>'Rail (EXW)'!C40</f>
        <v>Moscow</v>
      </c>
      <c r="G174" s="230">
        <f>'Rail (EXW)'!D40</f>
        <v>4050</v>
      </c>
      <c r="H174" s="225" t="s">
        <v>56</v>
      </c>
      <c r="I174" s="226" t="str">
        <f>'Rail (EXW)'!H40</f>
        <v>Elektrougli</v>
      </c>
      <c r="J174" s="226"/>
      <c r="K174" s="225"/>
      <c r="L174" s="226"/>
      <c r="M174" s="225"/>
      <c r="N174" s="226"/>
      <c r="O174" s="226"/>
      <c r="P174" s="227" t="str">
        <f>'Rail (EXW)'!E40</f>
        <v>4.18/4.21/4.25/4.29</v>
      </c>
      <c r="Q174" s="226"/>
    </row>
    <row r="175" spans="1:17">
      <c r="A175" s="225" t="s">
        <v>337</v>
      </c>
      <c r="B175" s="225" t="s">
        <v>338</v>
      </c>
      <c r="C175" s="225" t="str">
        <f t="shared" si="0"/>
        <v>40 HC</v>
      </c>
      <c r="D175" s="226" t="str">
        <f>'Rail (EXW)'!A41</f>
        <v>Tianjin</v>
      </c>
      <c r="E175" s="226" t="str">
        <f>'Rail (EXW)'!G41</f>
        <v>Erlian</v>
      </c>
      <c r="F175" s="226" t="str">
        <f>'Rail (EXW)'!C41</f>
        <v>Moscow</v>
      </c>
      <c r="G175" s="230">
        <f>'Rail (EXW)'!D41</f>
        <v>5750</v>
      </c>
      <c r="H175" s="225" t="s">
        <v>56</v>
      </c>
      <c r="I175" s="226" t="str">
        <f>'Rail (EXW)'!H41</f>
        <v>Elektrougli</v>
      </c>
      <c r="J175" s="226"/>
      <c r="K175" s="225"/>
      <c r="L175" s="226"/>
      <c r="M175" s="225"/>
      <c r="N175" s="226"/>
      <c r="O175" s="226"/>
      <c r="P175" s="227" t="str">
        <f>'Rail (EXW)'!E41</f>
        <v>4.18/4.21/4.25/4.29</v>
      </c>
      <c r="Q175" s="226"/>
    </row>
    <row r="176" spans="1:17">
      <c r="A176" s="225" t="s">
        <v>337</v>
      </c>
      <c r="B176" s="225" t="s">
        <v>338</v>
      </c>
      <c r="C176" s="225" t="str">
        <f t="shared" si="0"/>
        <v>40 HC</v>
      </c>
      <c r="D176" s="226" t="str">
        <f>'Rail (EXW)'!A42</f>
        <v>Qingdao</v>
      </c>
      <c r="E176" s="226" t="str">
        <f>'Rail (EXW)'!G42</f>
        <v>Erlian</v>
      </c>
      <c r="F176" s="226" t="str">
        <f>'Rail (EXW)'!C42</f>
        <v>Moscow</v>
      </c>
      <c r="G176" s="230">
        <f>'Rail (EXW)'!D42</f>
        <v>5000</v>
      </c>
      <c r="H176" s="225" t="s">
        <v>56</v>
      </c>
      <c r="I176" s="226" t="str">
        <f>'Rail (EXW)'!H42</f>
        <v>Elektrougli</v>
      </c>
      <c r="J176" s="226"/>
      <c r="K176" s="225"/>
      <c r="L176" s="226"/>
      <c r="M176" s="225"/>
      <c r="N176" s="226"/>
      <c r="O176" s="226"/>
      <c r="P176" s="227" t="str">
        <f>'Rail (EXW)'!E42</f>
        <v>4.18/4.21/4.25/4.29</v>
      </c>
      <c r="Q176" s="226"/>
    </row>
    <row r="177" spans="1:17">
      <c r="A177" s="225" t="s">
        <v>337</v>
      </c>
      <c r="B177" s="225" t="s">
        <v>338</v>
      </c>
      <c r="C177" s="225" t="str">
        <f t="shared" si="0"/>
        <v>40 HC</v>
      </c>
      <c r="D177" s="226" t="str">
        <f>'Rail (EXW)'!A43</f>
        <v>Shanghai</v>
      </c>
      <c r="E177" s="226" t="str">
        <f>'Rail (EXW)'!G43</f>
        <v>Erlian</v>
      </c>
      <c r="F177" s="226" t="str">
        <f>'Rail (EXW)'!C43</f>
        <v>Moscow</v>
      </c>
      <c r="G177" s="230">
        <f>'Rail (EXW)'!D43</f>
        <v>5050</v>
      </c>
      <c r="H177" s="225" t="s">
        <v>56</v>
      </c>
      <c r="I177" s="226" t="str">
        <f>'Rail (EXW)'!H43</f>
        <v>Elektrougli</v>
      </c>
      <c r="J177" s="226"/>
      <c r="K177" s="225"/>
      <c r="L177" s="226"/>
      <c r="M177" s="225"/>
      <c r="N177" s="226"/>
      <c r="O177" s="226"/>
      <c r="P177" s="227" t="str">
        <f>'Rail (EXW)'!E43</f>
        <v>4.18/4.21/4.25/4.29</v>
      </c>
      <c r="Q177" s="226"/>
    </row>
    <row r="178" spans="1:17">
      <c r="A178" s="225" t="s">
        <v>337</v>
      </c>
      <c r="B178" s="225" t="s">
        <v>338</v>
      </c>
      <c r="C178" s="225" t="str">
        <f t="shared" si="0"/>
        <v>40 HC</v>
      </c>
      <c r="D178" s="226" t="str">
        <f>'Rail (EXW)'!A44</f>
        <v>Ningbo</v>
      </c>
      <c r="E178" s="226" t="str">
        <f>'Rail (EXW)'!G44</f>
        <v>Erlian</v>
      </c>
      <c r="F178" s="226" t="str">
        <f>'Rail (EXW)'!C44</f>
        <v>Moscow</v>
      </c>
      <c r="G178" s="230">
        <f>'Rail (EXW)'!D44</f>
        <v>5200</v>
      </c>
      <c r="H178" s="225" t="s">
        <v>56</v>
      </c>
      <c r="I178" s="226" t="str">
        <f>'Rail (EXW)'!H44</f>
        <v>Elektrougli</v>
      </c>
      <c r="J178" s="226"/>
      <c r="K178" s="225"/>
      <c r="L178" s="226"/>
      <c r="M178" s="225"/>
      <c r="N178" s="226"/>
      <c r="O178" s="226"/>
      <c r="P178" s="227" t="str">
        <f>'Rail (EXW)'!E44</f>
        <v>4.18/4.21/4.25/4.29</v>
      </c>
      <c r="Q178" s="226"/>
    </row>
    <row r="179" spans="1:17">
      <c r="A179" s="225" t="s">
        <v>337</v>
      </c>
      <c r="B179" s="225" t="s">
        <v>338</v>
      </c>
      <c r="C179" s="225" t="str">
        <f t="shared" si="0"/>
        <v>40 HC</v>
      </c>
      <c r="D179" s="226" t="str">
        <f>'Rail (EXW)'!A45</f>
        <v>Guangzhou</v>
      </c>
      <c r="E179" s="226" t="str">
        <f>'Rail (EXW)'!G45</f>
        <v>Erlian</v>
      </c>
      <c r="F179" s="226" t="str">
        <f>'Rail (EXW)'!C45</f>
        <v>Moscow</v>
      </c>
      <c r="G179" s="230">
        <f>'Rail (EXW)'!D45</f>
        <v>5000</v>
      </c>
      <c r="H179" s="225" t="s">
        <v>56</v>
      </c>
      <c r="I179" s="226" t="str">
        <f>'Rail (EXW)'!H45</f>
        <v>Elektrougli</v>
      </c>
      <c r="J179" s="226"/>
      <c r="K179" s="225"/>
      <c r="L179" s="226"/>
      <c r="M179" s="225"/>
      <c r="N179" s="226"/>
      <c r="O179" s="226"/>
      <c r="P179" s="227" t="str">
        <f>'Rail (EXW)'!E45</f>
        <v>4.18/4.21/4.25/4.29</v>
      </c>
      <c r="Q179" s="226"/>
    </row>
    <row r="180" spans="1:17">
      <c r="A180" s="225" t="s">
        <v>337</v>
      </c>
      <c r="B180" s="225" t="s">
        <v>338</v>
      </c>
      <c r="C180" s="225" t="str">
        <f t="shared" si="0"/>
        <v>40 HC</v>
      </c>
      <c r="D180" s="226" t="str">
        <f>'Rail (EXW)'!A46</f>
        <v>Shenzhen</v>
      </c>
      <c r="E180" s="226" t="str">
        <f>'Rail (EXW)'!G46</f>
        <v>Erlian</v>
      </c>
      <c r="F180" s="226" t="str">
        <f>'Rail (EXW)'!C46</f>
        <v>Moscow</v>
      </c>
      <c r="G180" s="230">
        <f>'Rail (EXW)'!D46</f>
        <v>5000</v>
      </c>
      <c r="H180" s="225" t="s">
        <v>56</v>
      </c>
      <c r="I180" s="226" t="str">
        <f>'Rail (EXW)'!H46</f>
        <v>Elektrougli</v>
      </c>
      <c r="J180" s="226"/>
      <c r="K180" s="225"/>
      <c r="L180" s="226"/>
      <c r="M180" s="225"/>
      <c r="N180" s="226"/>
      <c r="O180" s="226"/>
      <c r="P180" s="227" t="str">
        <f>'Rail (EXW)'!E46</f>
        <v>4.18/4.21/4.25/4.29</v>
      </c>
      <c r="Q180" s="226"/>
    </row>
    <row r="181" spans="1:17">
      <c r="A181" s="225" t="s">
        <v>337</v>
      </c>
      <c r="B181" s="225" t="s">
        <v>338</v>
      </c>
      <c r="C181" s="225" t="str">
        <f t="shared" si="0"/>
        <v>40 HC</v>
      </c>
      <c r="D181" s="226" t="str">
        <f>'Rail (EXW)'!A47</f>
        <v>Foshan/Shunde/Dongguan/Zhongshan</v>
      </c>
      <c r="E181" s="226" t="str">
        <f>'Rail (EXW)'!G47</f>
        <v>Erlian</v>
      </c>
      <c r="F181" s="226" t="str">
        <f>'Rail (EXW)'!C47</f>
        <v>Moscow</v>
      </c>
      <c r="G181" s="230">
        <f>'Rail (EXW)'!D47</f>
        <v>5050</v>
      </c>
      <c r="H181" s="225" t="s">
        <v>56</v>
      </c>
      <c r="I181" s="226" t="str">
        <f>'Rail (EXW)'!H47</f>
        <v>Elektrougli</v>
      </c>
      <c r="J181" s="226"/>
      <c r="K181" s="225"/>
      <c r="L181" s="226"/>
      <c r="M181" s="225"/>
      <c r="N181" s="226"/>
      <c r="O181" s="226"/>
      <c r="P181" s="227" t="str">
        <f>'Rail (EXW)'!E47</f>
        <v>4.18/4.21/4.25/4.29</v>
      </c>
      <c r="Q181" s="226"/>
    </row>
    <row r="182" spans="1:17">
      <c r="A182" s="225" t="s">
        <v>337</v>
      </c>
      <c r="B182" s="225" t="s">
        <v>338</v>
      </c>
      <c r="C182" s="225" t="str">
        <f t="shared" si="0"/>
        <v>40 HC</v>
      </c>
      <c r="D182" s="226" t="str">
        <f>'Rail (EXW)'!A48</f>
        <v>Jiangmen/Qingguan/Huizhou/Zhuhai</v>
      </c>
      <c r="E182" s="226" t="str">
        <f>'Rail (EXW)'!G48</f>
        <v>Erlian</v>
      </c>
      <c r="F182" s="226" t="str">
        <f>'Rail (EXW)'!C48</f>
        <v>Moscow</v>
      </c>
      <c r="G182" s="230">
        <f>'Rail (EXW)'!D48</f>
        <v>5100</v>
      </c>
      <c r="H182" s="225" t="s">
        <v>56</v>
      </c>
      <c r="I182" s="226" t="str">
        <f>'Rail (EXW)'!H48</f>
        <v>Elektrougli</v>
      </c>
      <c r="J182" s="226"/>
      <c r="K182" s="225"/>
      <c r="L182" s="226"/>
      <c r="M182" s="225"/>
      <c r="N182" s="226"/>
      <c r="O182" s="226"/>
      <c r="P182" s="227" t="str">
        <f>'Rail (EXW)'!E48</f>
        <v>4.18/4.21/4.25/4.29</v>
      </c>
      <c r="Q182" s="226"/>
    </row>
    <row r="183" spans="1:17">
      <c r="A183" s="225" t="s">
        <v>337</v>
      </c>
      <c r="B183" s="225" t="s">
        <v>338</v>
      </c>
      <c r="C183" s="225" t="str">
        <f t="shared" si="0"/>
        <v>40 HC</v>
      </c>
      <c r="D183" s="226" t="str">
        <f>'Rail (EXW)'!A49</f>
        <v>Shantou/Chaozhou</v>
      </c>
      <c r="E183" s="226" t="str">
        <f>'Rail (EXW)'!G49</f>
        <v>Erlian</v>
      </c>
      <c r="F183" s="226" t="str">
        <f>'Rail (EXW)'!C49</f>
        <v>Moscow</v>
      </c>
      <c r="G183" s="230">
        <f>'Rail (EXW)'!D49</f>
        <v>5450</v>
      </c>
      <c r="H183" s="225" t="s">
        <v>56</v>
      </c>
      <c r="I183" s="226" t="str">
        <f>'Rail (EXW)'!H49</f>
        <v>Elektrougli</v>
      </c>
      <c r="J183" s="226"/>
      <c r="K183" s="225"/>
      <c r="L183" s="226"/>
      <c r="M183" s="225"/>
      <c r="N183" s="226"/>
      <c r="O183" s="226"/>
      <c r="P183" s="227" t="str">
        <f>'Rail (EXW)'!E49</f>
        <v>4.18/4.21/4.25/4.29</v>
      </c>
      <c r="Q183" s="226"/>
    </row>
    <row r="184" spans="1:17">
      <c r="A184" s="225" t="s">
        <v>337</v>
      </c>
      <c r="B184" s="225" t="s">
        <v>338</v>
      </c>
      <c r="C184" s="225" t="str">
        <f t="shared" si="0"/>
        <v>40 HC</v>
      </c>
      <c r="D184" s="226" t="str">
        <f>'Rail (EXW)'!A50</f>
        <v>Xiamen/Quanzhou</v>
      </c>
      <c r="E184" s="226">
        <f>'Rail (EXW)'!G50</f>
        <v>0</v>
      </c>
      <c r="F184" s="226" t="str">
        <f>'Rail (EXW)'!C50</f>
        <v>Moscow</v>
      </c>
      <c r="G184" s="230">
        <f>'Rail (EXW)'!D50</f>
        <v>5300</v>
      </c>
      <c r="H184" s="225" t="s">
        <v>56</v>
      </c>
      <c r="I184" s="226">
        <f>'Rail (EXW)'!H50</f>
        <v>0</v>
      </c>
      <c r="J184" s="226"/>
      <c r="K184" s="225"/>
      <c r="L184" s="226"/>
      <c r="M184" s="225"/>
      <c r="N184" s="226"/>
      <c r="O184" s="226"/>
      <c r="P184" s="227" t="str">
        <f>'Rail (EXW)'!E50</f>
        <v>4.18/4.21/4.25/4.29</v>
      </c>
      <c r="Q184" s="226"/>
    </row>
    <row r="185" spans="1:17">
      <c r="A185" s="205" t="s">
        <v>337</v>
      </c>
      <c r="B185" s="205" t="s">
        <v>338</v>
      </c>
      <c r="C185" s="225" t="str">
        <f t="shared" si="0"/>
        <v>40 HC</v>
      </c>
      <c r="D185" s="226">
        <f>'Rail (EXW)'!A51</f>
        <v>0</v>
      </c>
      <c r="E185" s="226">
        <f>'Rail (EXW)'!G51</f>
        <v>0</v>
      </c>
      <c r="F185" s="226">
        <f>'Rail (EXW)'!C51</f>
        <v>0</v>
      </c>
      <c r="G185" s="230">
        <f>'Rail (EXW)'!D51</f>
        <v>0</v>
      </c>
      <c r="H185" s="225" t="s">
        <v>56</v>
      </c>
      <c r="I185" s="226">
        <f>'Rail (EXW)'!H51</f>
        <v>0</v>
      </c>
      <c r="K185" s="205"/>
      <c r="M185" s="205"/>
      <c r="P185" s="206">
        <f>'Rail (EXW)'!E51</f>
        <v>0</v>
      </c>
    </row>
    <row r="186" spans="1:17">
      <c r="A186" s="225" t="s">
        <v>337</v>
      </c>
      <c r="B186" s="225" t="s">
        <v>338</v>
      </c>
      <c r="C186" s="225" t="str">
        <f t="shared" si="0"/>
        <v>40 HC</v>
      </c>
      <c r="D186" s="226" t="str">
        <f>'Rail (EXW)'!A52</f>
        <v>Guangzhou</v>
      </c>
      <c r="E186" s="226" t="str">
        <f>'Rail (EXW)'!G52</f>
        <v>Erlian</v>
      </c>
      <c r="F186" s="226" t="str">
        <f>'Rail (EXW)'!C52</f>
        <v>Moscow</v>
      </c>
      <c r="G186" s="230">
        <f>'Rail (EXW)'!D52</f>
        <v>4700</v>
      </c>
      <c r="H186" s="225" t="s">
        <v>56</v>
      </c>
      <c r="I186" s="226" t="str">
        <f>'Rail (EXW)'!H52</f>
        <v>Selyatino</v>
      </c>
      <c r="J186" s="226"/>
      <c r="K186" s="225"/>
      <c r="L186" s="226"/>
      <c r="M186" s="225"/>
      <c r="N186" s="226"/>
      <c r="O186" s="226"/>
      <c r="P186" s="227" t="str">
        <f>'Rail (EXW)'!E52</f>
        <v>4.13/4.16/4.20/4.23/4.26/4.30</v>
      </c>
      <c r="Q186" s="226"/>
    </row>
    <row r="187" spans="1:17">
      <c r="A187" s="225" t="s">
        <v>337</v>
      </c>
      <c r="B187" s="225" t="s">
        <v>338</v>
      </c>
      <c r="C187" s="225" t="str">
        <f t="shared" si="0"/>
        <v>40 HC</v>
      </c>
      <c r="D187" s="226" t="str">
        <f>'Rail (EXW)'!A53</f>
        <v>Shenzhen/Dongguan/Zhongshan/Foshan</v>
      </c>
      <c r="E187" s="226" t="str">
        <f>'Rail (EXW)'!G53</f>
        <v>Erlian</v>
      </c>
      <c r="F187" s="226" t="str">
        <f>'Rail (EXW)'!C53</f>
        <v>Moscow</v>
      </c>
      <c r="G187" s="230">
        <f>'Rail (EXW)'!D53</f>
        <v>4750</v>
      </c>
      <c r="H187" s="225" t="s">
        <v>56</v>
      </c>
      <c r="I187" s="226" t="str">
        <f>'Rail (EXW)'!H53</f>
        <v>Selyatino</v>
      </c>
      <c r="J187" s="226"/>
      <c r="K187" s="225"/>
      <c r="L187" s="226"/>
      <c r="M187" s="225"/>
      <c r="N187" s="226"/>
      <c r="O187" s="226"/>
      <c r="P187" s="227" t="str">
        <f>'Rail (EXW)'!E53</f>
        <v>4.13/4.16/4.20/4.23/4.26/4.30</v>
      </c>
      <c r="Q187" s="226"/>
    </row>
    <row r="188" spans="1:17">
      <c r="A188" s="225" t="s">
        <v>337</v>
      </c>
      <c r="B188" s="225" t="s">
        <v>338</v>
      </c>
      <c r="C188" s="225" t="str">
        <f t="shared" si="0"/>
        <v>40 HC</v>
      </c>
      <c r="D188" s="226" t="str">
        <f>'Rail (EXW)'!A54</f>
        <v>Qingyuan/Zhaoqing</v>
      </c>
      <c r="E188" s="226" t="str">
        <f>'Rail (EXW)'!G54</f>
        <v>Erlian</v>
      </c>
      <c r="F188" s="226" t="str">
        <f>'Rail (EXW)'!C54</f>
        <v>Moscow</v>
      </c>
      <c r="G188" s="230">
        <f>'Rail (EXW)'!D54</f>
        <v>4800</v>
      </c>
      <c r="H188" s="225" t="s">
        <v>56</v>
      </c>
      <c r="I188" s="226" t="str">
        <f>'Rail (EXW)'!H54</f>
        <v>Selyatino</v>
      </c>
      <c r="J188" s="226"/>
      <c r="K188" s="225"/>
      <c r="L188" s="226"/>
      <c r="M188" s="225"/>
      <c r="N188" s="226"/>
      <c r="O188" s="226"/>
      <c r="P188" s="227" t="str">
        <f>'Rail (EXW)'!E54</f>
        <v>4.13/4.16/4.20/4.23/4.26/4.30</v>
      </c>
      <c r="Q188" s="226"/>
    </row>
    <row r="189" spans="1:17">
      <c r="A189" s="225" t="s">
        <v>337</v>
      </c>
      <c r="B189" s="225" t="s">
        <v>338</v>
      </c>
      <c r="C189" s="225" t="str">
        <f t="shared" si="0"/>
        <v>40 HC</v>
      </c>
      <c r="D189" s="226" t="str">
        <f>'Rail (EXW)'!A55</f>
        <v>Huizhou</v>
      </c>
      <c r="E189" s="226" t="str">
        <f>'Rail (EXW)'!G55</f>
        <v>Erlian</v>
      </c>
      <c r="F189" s="226" t="str">
        <f>'Rail (EXW)'!C55</f>
        <v>Moscow</v>
      </c>
      <c r="G189" s="230">
        <f>'Rail (EXW)'!D55</f>
        <v>4800</v>
      </c>
      <c r="H189" s="225" t="s">
        <v>56</v>
      </c>
      <c r="I189" s="226" t="str">
        <f>'Rail (EXW)'!H55</f>
        <v>Selyatino</v>
      </c>
      <c r="J189" s="226"/>
      <c r="K189" s="225"/>
      <c r="L189" s="226"/>
      <c r="M189" s="225"/>
      <c r="N189" s="226"/>
      <c r="O189" s="226"/>
      <c r="P189" s="227" t="str">
        <f>'Rail (EXW)'!E55</f>
        <v>4.13/4.16/4.20/4.23/4.26/4.30</v>
      </c>
      <c r="Q189" s="226"/>
    </row>
    <row r="190" spans="1:17">
      <c r="A190" s="225" t="s">
        <v>337</v>
      </c>
      <c r="B190" s="225" t="s">
        <v>338</v>
      </c>
      <c r="C190" s="225" t="str">
        <f t="shared" si="0"/>
        <v>40 HC</v>
      </c>
      <c r="D190" s="226" t="str">
        <f>'Rail (EXW)'!A56</f>
        <v>Shantou/Chaozhou/Jieyang</v>
      </c>
      <c r="E190" s="226" t="str">
        <f>'Rail (EXW)'!G56</f>
        <v>Erlian</v>
      </c>
      <c r="F190" s="226" t="str">
        <f>'Rail (EXW)'!C56</f>
        <v>Moscow</v>
      </c>
      <c r="G190" s="230">
        <f>'Rail (EXW)'!D56</f>
        <v>5150</v>
      </c>
      <c r="H190" s="225" t="s">
        <v>56</v>
      </c>
      <c r="I190" s="226" t="str">
        <f>'Rail (EXW)'!H56</f>
        <v>Selyatino</v>
      </c>
      <c r="J190" s="226"/>
      <c r="K190" s="225"/>
      <c r="L190" s="226"/>
      <c r="M190" s="225"/>
      <c r="N190" s="226"/>
      <c r="O190" s="226"/>
      <c r="P190" s="227" t="str">
        <f>'Rail (EXW)'!E56</f>
        <v>4.13/4.16/4.20/4.23/4.26/4.30</v>
      </c>
      <c r="Q190" s="226"/>
    </row>
    <row r="191" spans="1:17">
      <c r="A191" s="205" t="s">
        <v>337</v>
      </c>
      <c r="B191" s="205" t="s">
        <v>338</v>
      </c>
      <c r="C191" s="225" t="str">
        <f t="shared" si="0"/>
        <v>40 HC</v>
      </c>
      <c r="D191" s="226">
        <f>'Rail (EXW)'!A57</f>
        <v>0</v>
      </c>
      <c r="E191" s="226">
        <f>'Rail (EXW)'!G57</f>
        <v>0</v>
      </c>
      <c r="F191" s="226">
        <f>'Rail (EXW)'!C57</f>
        <v>0</v>
      </c>
      <c r="G191" s="230">
        <f>'Rail (EXW)'!D57</f>
        <v>0</v>
      </c>
      <c r="H191" s="225" t="s">
        <v>56</v>
      </c>
      <c r="I191" s="226">
        <f>'Rail (EXW)'!H57</f>
        <v>0</v>
      </c>
      <c r="K191" s="205"/>
      <c r="M191" s="205"/>
      <c r="P191" s="206">
        <f>'Rail (EXW)'!E57</f>
        <v>0</v>
      </c>
    </row>
    <row r="192" spans="1:17">
      <c r="A192" s="205" t="s">
        <v>337</v>
      </c>
      <c r="B192" s="205" t="s">
        <v>338</v>
      </c>
      <c r="C192" s="225" t="str">
        <f t="shared" si="0"/>
        <v>40 HC</v>
      </c>
      <c r="D192" s="226" t="str">
        <f>'Rail (EXW)'!A58</f>
        <v>Dalian</v>
      </c>
      <c r="E192" s="226" t="str">
        <f>'Rail (EXW)'!G58</f>
        <v>Manzhouli</v>
      </c>
      <c r="F192" s="226" t="str">
        <f>'Rail (EXW)'!C58</f>
        <v>Moscow</v>
      </c>
      <c r="G192" s="230">
        <f>'Rail (EXW)'!D58</f>
        <v>5100</v>
      </c>
      <c r="H192" s="225" t="s">
        <v>56</v>
      </c>
      <c r="I192" s="226" t="str">
        <f>'Rail (EXW)'!H58</f>
        <v>Bely rast</v>
      </c>
      <c r="K192" s="205"/>
      <c r="M192" s="205"/>
      <c r="P192" s="206" t="str">
        <f>'Rail (EXW)'!E58</f>
        <v>4.15/4.20/4.23/4.28</v>
      </c>
    </row>
    <row r="193" spans="1:17">
      <c r="A193" s="205" t="s">
        <v>337</v>
      </c>
      <c r="B193" s="205" t="s">
        <v>338</v>
      </c>
      <c r="C193" s="225" t="str">
        <f t="shared" si="0"/>
        <v>40 HC</v>
      </c>
      <c r="D193" s="226" t="str">
        <f>'Rail (EXW)'!A59</f>
        <v>Shenyang</v>
      </c>
      <c r="E193" s="226" t="str">
        <f>'Rail (EXW)'!G59</f>
        <v>Manzhouli</v>
      </c>
      <c r="F193" s="226" t="str">
        <f>'Rail (EXW)'!C59</f>
        <v>Moscow</v>
      </c>
      <c r="G193" s="230">
        <f>'Rail (EXW)'!D59</f>
        <v>4850</v>
      </c>
      <c r="H193" s="225" t="s">
        <v>56</v>
      </c>
      <c r="I193" s="226" t="str">
        <f>'Rail (EXW)'!H59</f>
        <v>Bely rast</v>
      </c>
      <c r="K193" s="205"/>
      <c r="M193" s="205"/>
      <c r="P193" s="206" t="str">
        <f>'Rail (EXW)'!E59</f>
        <v>4.15/4.20/4.23/4.28</v>
      </c>
    </row>
    <row r="194" spans="1:17">
      <c r="A194" s="205" t="s">
        <v>337</v>
      </c>
      <c r="B194" s="205" t="s">
        <v>338</v>
      </c>
      <c r="C194" s="225" t="str">
        <f t="shared" si="0"/>
        <v>40 HC</v>
      </c>
      <c r="D194" s="226">
        <f>'Rail (EXW)'!A60</f>
        <v>0</v>
      </c>
      <c r="E194" s="226">
        <f>'Rail (EXW)'!G60</f>
        <v>0</v>
      </c>
      <c r="F194" s="226">
        <f>'Rail (EXW)'!C60</f>
        <v>0</v>
      </c>
      <c r="G194" s="230">
        <f>'Rail (EXW)'!D60</f>
        <v>0</v>
      </c>
      <c r="H194" s="225" t="s">
        <v>56</v>
      </c>
      <c r="I194" s="226">
        <f>'Rail (EXW)'!H60</f>
        <v>0</v>
      </c>
      <c r="K194" s="205"/>
      <c r="M194" s="205"/>
      <c r="P194" s="206">
        <f>'Rail (EXW)'!E60</f>
        <v>0</v>
      </c>
    </row>
    <row r="195" spans="1:17">
      <c r="A195" s="205" t="s">
        <v>337</v>
      </c>
      <c r="B195" s="205" t="s">
        <v>338</v>
      </c>
      <c r="C195" s="225" t="str">
        <f t="shared" si="0"/>
        <v>40 HC</v>
      </c>
      <c r="D195" s="226" t="str">
        <f>'Rail (EXW)'!A61</f>
        <v>Shanghai</v>
      </c>
      <c r="E195" s="226" t="str">
        <f>'Rail (EXW)'!G61</f>
        <v>Manzhouli</v>
      </c>
      <c r="F195" s="226" t="str">
        <f>'Rail (EXW)'!C61</f>
        <v>Moscow</v>
      </c>
      <c r="G195" s="230">
        <f>'Rail (EXW)'!D61</f>
        <v>5200</v>
      </c>
      <c r="H195" s="225" t="s">
        <v>56</v>
      </c>
      <c r="I195" s="226" t="str">
        <f>'Rail (EXW)'!H61</f>
        <v>Selyatino</v>
      </c>
      <c r="K195" s="205"/>
      <c r="M195" s="205"/>
      <c r="P195" s="206" t="str">
        <f>'Rail (EXW)'!E61</f>
        <v>Late April</v>
      </c>
    </row>
    <row r="196" spans="1:17">
      <c r="A196" s="205" t="s">
        <v>337</v>
      </c>
      <c r="B196" s="205" t="s">
        <v>338</v>
      </c>
      <c r="C196" s="225" t="str">
        <f t="shared" si="0"/>
        <v>40 HC</v>
      </c>
      <c r="D196" s="226" t="str">
        <f>'Rail (EXW)'!A62</f>
        <v>Ningbo</v>
      </c>
      <c r="E196" s="226" t="str">
        <f>'Rail (EXW)'!G62</f>
        <v>Manzhouli</v>
      </c>
      <c r="F196" s="226" t="str">
        <f>'Rail (EXW)'!C62</f>
        <v>Moscow</v>
      </c>
      <c r="G196" s="230">
        <f>'Rail (EXW)'!D62</f>
        <v>5300</v>
      </c>
      <c r="H196" s="225" t="s">
        <v>56</v>
      </c>
      <c r="I196" s="226" t="str">
        <f>'Rail (EXW)'!H62</f>
        <v>Selyatino</v>
      </c>
      <c r="K196" s="205"/>
      <c r="M196" s="205"/>
      <c r="P196" s="206" t="str">
        <f>'Rail (EXW)'!E62</f>
        <v>Late April</v>
      </c>
    </row>
    <row r="197" spans="1:17">
      <c r="A197" s="205" t="s">
        <v>337</v>
      </c>
      <c r="B197" s="205" t="s">
        <v>338</v>
      </c>
      <c r="C197" s="225" t="str">
        <f t="shared" si="0"/>
        <v>40 HC</v>
      </c>
      <c r="D197" s="226">
        <f>'Rail (EXW)'!A63</f>
        <v>0</v>
      </c>
      <c r="E197" s="226">
        <f>'Rail (EXW)'!G63</f>
        <v>0</v>
      </c>
      <c r="F197" s="226">
        <f>'Rail (EXW)'!C63</f>
        <v>0</v>
      </c>
      <c r="G197" s="230">
        <f>'Rail (EXW)'!D63</f>
        <v>0</v>
      </c>
      <c r="H197" s="225" t="s">
        <v>56</v>
      </c>
      <c r="I197" s="226">
        <f>'Rail (EXW)'!H63</f>
        <v>0</v>
      </c>
      <c r="K197" s="205"/>
      <c r="M197" s="205"/>
      <c r="P197" s="206">
        <f>'Rail (EXW)'!E63</f>
        <v>0</v>
      </c>
    </row>
    <row r="198" spans="1:17">
      <c r="A198" s="225" t="s">
        <v>337</v>
      </c>
      <c r="B198" s="225" t="s">
        <v>338</v>
      </c>
      <c r="C198" s="225" t="str">
        <f t="shared" si="0"/>
        <v>40 HC</v>
      </c>
      <c r="D198" s="226" t="str">
        <f>'Rail (EXW)'!A64</f>
        <v>Shanghai/Suzhou/Cangzhou/Nanjing</v>
      </c>
      <c r="E198" s="226" t="str">
        <f>'Rail (EXW)'!G64</f>
        <v>Khorgos</v>
      </c>
      <c r="F198" s="226" t="str">
        <f>'Rail (EXW)'!C64</f>
        <v>Moscow</v>
      </c>
      <c r="G198" s="230">
        <f>'Rail (EXW)'!D64</f>
        <v>4900</v>
      </c>
      <c r="H198" s="225" t="s">
        <v>56</v>
      </c>
      <c r="I198" s="226" t="str">
        <f>'Rail (EXW)'!H64</f>
        <v>Elektrougli</v>
      </c>
      <c r="J198" s="226"/>
      <c r="K198" s="225"/>
      <c r="L198" s="226"/>
      <c r="M198" s="225"/>
      <c r="N198" s="226"/>
      <c r="O198" s="226"/>
      <c r="P198" s="227" t="str">
        <f>'Rail (EXW)'!E64</f>
        <v>4.12/4.13/4.15/4.23</v>
      </c>
      <c r="Q198" s="226"/>
    </row>
    <row r="199" spans="1:17">
      <c r="A199" s="225" t="s">
        <v>337</v>
      </c>
      <c r="B199" s="225" t="s">
        <v>338</v>
      </c>
      <c r="C199" s="225" t="str">
        <f t="shared" si="0"/>
        <v>40 HC</v>
      </c>
      <c r="D199" s="226" t="str">
        <f>'Rail (EXW)'!A65</f>
        <v>Ningbo/Shaoxing/Hangzhou</v>
      </c>
      <c r="E199" s="226" t="str">
        <f>'Rail (EXW)'!G65</f>
        <v>Khorgos</v>
      </c>
      <c r="F199" s="226" t="str">
        <f>'Rail (EXW)'!C65</f>
        <v>Moscow</v>
      </c>
      <c r="G199" s="230">
        <f>'Rail (EXW)'!D65</f>
        <v>4950</v>
      </c>
      <c r="H199" s="225" t="s">
        <v>56</v>
      </c>
      <c r="I199" s="226" t="str">
        <f>'Rail (EXW)'!H65</f>
        <v>Elektrougli</v>
      </c>
      <c r="J199" s="226"/>
      <c r="K199" s="225"/>
      <c r="L199" s="226"/>
      <c r="M199" s="225"/>
      <c r="N199" s="226"/>
      <c r="O199" s="226"/>
      <c r="P199" s="227" t="str">
        <f>'Rail (EXW)'!E65</f>
        <v>4.12/4.13/4.15/4.23</v>
      </c>
      <c r="Q199" s="226"/>
    </row>
    <row r="200" spans="1:17">
      <c r="A200" s="225" t="s">
        <v>337</v>
      </c>
      <c r="B200" s="225" t="s">
        <v>338</v>
      </c>
      <c r="C200" s="225" t="str">
        <f t="shared" si="0"/>
        <v>40 HC</v>
      </c>
      <c r="D200" s="226" t="str">
        <f>'Rail (EXW)'!A66</f>
        <v>Jinhua/Wuyi/Yiwu/Yongkang</v>
      </c>
      <c r="E200" s="226" t="str">
        <f>'Rail (EXW)'!G66</f>
        <v>Khorgos</v>
      </c>
      <c r="F200" s="226" t="str">
        <f>'Rail (EXW)'!C66</f>
        <v>Moscow</v>
      </c>
      <c r="G200" s="230">
        <f>'Rail (EXW)'!D66</f>
        <v>5000</v>
      </c>
      <c r="H200" s="225" t="s">
        <v>56</v>
      </c>
      <c r="I200" s="226" t="str">
        <f>'Rail (EXW)'!H66</f>
        <v>Elektrougli</v>
      </c>
      <c r="J200" s="226"/>
      <c r="K200" s="225"/>
      <c r="L200" s="226"/>
      <c r="M200" s="225"/>
      <c r="N200" s="226"/>
      <c r="O200" s="226"/>
      <c r="P200" s="227" t="str">
        <f>'Rail (EXW)'!E66</f>
        <v>4.12/4.13/4.15/4.23</v>
      </c>
      <c r="Q200" s="226"/>
    </row>
    <row r="201" spans="1:17">
      <c r="A201" s="225" t="s">
        <v>337</v>
      </c>
      <c r="B201" s="225" t="s">
        <v>338</v>
      </c>
      <c r="C201" s="225" t="str">
        <f t="shared" si="0"/>
        <v>40 HC</v>
      </c>
      <c r="D201" s="226" t="str">
        <f>'Rail (EXW)'!A67</f>
        <v>Taizhou</v>
      </c>
      <c r="E201" s="226" t="str">
        <f>'Rail (EXW)'!G67</f>
        <v>Khorgos</v>
      </c>
      <c r="F201" s="226" t="str">
        <f>'Rail (EXW)'!C67</f>
        <v>Moscow</v>
      </c>
      <c r="G201" s="230">
        <f>'Rail (EXW)'!D67</f>
        <v>5150</v>
      </c>
      <c r="H201" s="225" t="s">
        <v>56</v>
      </c>
      <c r="I201" s="226" t="str">
        <f>'Rail (EXW)'!H67</f>
        <v>Elektrougli</v>
      </c>
      <c r="J201" s="226"/>
      <c r="K201" s="225"/>
      <c r="L201" s="226"/>
      <c r="M201" s="225"/>
      <c r="N201" s="226"/>
      <c r="O201" s="226"/>
      <c r="P201" s="227" t="str">
        <f>'Rail (EXW)'!E67</f>
        <v>4.12/4.13/4.15/4.23</v>
      </c>
      <c r="Q201" s="226"/>
    </row>
    <row r="202" spans="1:17">
      <c r="A202" s="225" t="s">
        <v>337</v>
      </c>
      <c r="B202" s="225" t="s">
        <v>338</v>
      </c>
      <c r="C202" s="225" t="str">
        <f t="shared" ref="C202:C265" si="1">$C$136</f>
        <v>40 HC</v>
      </c>
      <c r="D202" s="226" t="str">
        <f>'Rail (EXW)'!A68</f>
        <v>Wenzhou</v>
      </c>
      <c r="E202" s="226" t="str">
        <f>'Rail (EXW)'!G68</f>
        <v>Khorgos</v>
      </c>
      <c r="F202" s="226" t="str">
        <f>'Rail (EXW)'!C68</f>
        <v>Moscow</v>
      </c>
      <c r="G202" s="230">
        <f>'Rail (EXW)'!D68</f>
        <v>5200</v>
      </c>
      <c r="H202" s="225" t="s">
        <v>56</v>
      </c>
      <c r="I202" s="226" t="str">
        <f>'Rail (EXW)'!H68</f>
        <v>Elektrougli</v>
      </c>
      <c r="J202" s="226"/>
      <c r="K202" s="225"/>
      <c r="L202" s="226"/>
      <c r="M202" s="225"/>
      <c r="N202" s="226"/>
      <c r="O202" s="226"/>
      <c r="P202" s="227" t="str">
        <f>'Rail (EXW)'!E68</f>
        <v>4.12/4.13/4.15/4.23</v>
      </c>
      <c r="Q202" s="226"/>
    </row>
    <row r="203" spans="1:17">
      <c r="A203" s="225" t="s">
        <v>337</v>
      </c>
      <c r="B203" s="225" t="s">
        <v>338</v>
      </c>
      <c r="C203" s="225" t="str">
        <f t="shared" si="1"/>
        <v>40 HC</v>
      </c>
      <c r="D203" s="226" t="str">
        <f>'Rail (EXW)'!A69</f>
        <v>Qingdao/Linyi/Weifang/Shouguang</v>
      </c>
      <c r="E203" s="226" t="str">
        <f>'Rail (EXW)'!G69</f>
        <v>Khorgos</v>
      </c>
      <c r="F203" s="226" t="str">
        <f>'Rail (EXW)'!C69</f>
        <v>Moscow</v>
      </c>
      <c r="G203" s="230">
        <f>'Rail (EXW)'!D69</f>
        <v>4650</v>
      </c>
      <c r="H203" s="225" t="s">
        <v>56</v>
      </c>
      <c r="I203" s="226" t="str">
        <f>'Rail (EXW)'!H69</f>
        <v>Elektrougli</v>
      </c>
      <c r="J203" s="226"/>
      <c r="K203" s="225"/>
      <c r="L203" s="226"/>
      <c r="M203" s="225"/>
      <c r="N203" s="226"/>
      <c r="O203" s="226"/>
      <c r="P203" s="227" t="str">
        <f>'Rail (EXW)'!E69</f>
        <v>4.12/4.13/4.15/4.23</v>
      </c>
      <c r="Q203" s="226"/>
    </row>
    <row r="204" spans="1:17">
      <c r="A204" s="225" t="s">
        <v>337</v>
      </c>
      <c r="B204" s="225" t="s">
        <v>338</v>
      </c>
      <c r="C204" s="225" t="str">
        <f t="shared" si="1"/>
        <v>40 HC</v>
      </c>
      <c r="D204" s="226" t="str">
        <f>'Rail (EXW)'!A70</f>
        <v>Tianjin/Cangzhou/Jinan</v>
      </c>
      <c r="E204" s="226" t="str">
        <f>'Rail (EXW)'!G70</f>
        <v>Khorgos</v>
      </c>
      <c r="F204" s="226" t="str">
        <f>'Rail (EXW)'!C70</f>
        <v>Moscow</v>
      </c>
      <c r="G204" s="230">
        <f>'Rail (EXW)'!D70</f>
        <v>4700</v>
      </c>
      <c r="H204" s="225" t="s">
        <v>56</v>
      </c>
      <c r="I204" s="226" t="str">
        <f>'Rail (EXW)'!H70</f>
        <v>Elektrougli</v>
      </c>
      <c r="J204" s="226"/>
      <c r="K204" s="225"/>
      <c r="L204" s="226"/>
      <c r="M204" s="225"/>
      <c r="N204" s="226"/>
      <c r="O204" s="226"/>
      <c r="P204" s="227" t="str">
        <f>'Rail (EXW)'!E70</f>
        <v>4.12/4.13/4.15/4.23</v>
      </c>
      <c r="Q204" s="226"/>
    </row>
    <row r="205" spans="1:17">
      <c r="A205" s="225" t="s">
        <v>337</v>
      </c>
      <c r="B205" s="225" t="s">
        <v>338</v>
      </c>
      <c r="C205" s="225" t="str">
        <f t="shared" si="1"/>
        <v>40 HC</v>
      </c>
      <c r="D205" s="226" t="str">
        <f>'Rail (EXW)'!A71</f>
        <v>Xian</v>
      </c>
      <c r="E205" s="226" t="str">
        <f>'Rail (EXW)'!G71</f>
        <v>Khorgos</v>
      </c>
      <c r="F205" s="226" t="str">
        <f>'Rail (EXW)'!C71</f>
        <v>Moscow</v>
      </c>
      <c r="G205" s="230">
        <f>'Rail (EXW)'!D71</f>
        <v>3850</v>
      </c>
      <c r="H205" s="225" t="s">
        <v>56</v>
      </c>
      <c r="I205" s="226" t="str">
        <f>'Rail (EXW)'!H71</f>
        <v>Elektrougli</v>
      </c>
      <c r="J205" s="226"/>
      <c r="K205" s="225"/>
      <c r="L205" s="226"/>
      <c r="M205" s="225"/>
      <c r="N205" s="226"/>
      <c r="O205" s="226"/>
      <c r="P205" s="227" t="str">
        <f>'Rail (EXW)'!E71</f>
        <v>4.12/4.13/4.15/4.23</v>
      </c>
      <c r="Q205" s="226"/>
    </row>
    <row r="206" spans="1:17">
      <c r="A206" s="225" t="s">
        <v>337</v>
      </c>
      <c r="B206" s="225" t="s">
        <v>338</v>
      </c>
      <c r="C206" s="225" t="str">
        <f t="shared" si="1"/>
        <v>40 HC</v>
      </c>
      <c r="D206" s="226" t="str">
        <f>'Rail (EXW)'!A72</f>
        <v>Zhengzhou</v>
      </c>
      <c r="E206" s="226" t="str">
        <f>'Rail (EXW)'!G72</f>
        <v>Khorgos</v>
      </c>
      <c r="F206" s="226" t="str">
        <f>'Rail (EXW)'!C72</f>
        <v>Moscow</v>
      </c>
      <c r="G206" s="230">
        <f>'Rail (EXW)'!D72</f>
        <v>4350</v>
      </c>
      <c r="H206" s="225" t="s">
        <v>56</v>
      </c>
      <c r="I206" s="226" t="str">
        <f>'Rail (EXW)'!H72</f>
        <v>Elektrougli</v>
      </c>
      <c r="J206" s="226"/>
      <c r="K206" s="225"/>
      <c r="L206" s="226"/>
      <c r="M206" s="225"/>
      <c r="N206" s="226"/>
      <c r="O206" s="226"/>
      <c r="P206" s="227" t="str">
        <f>'Rail (EXW)'!E72</f>
        <v>4.12/4.13/4.15/4.23</v>
      </c>
      <c r="Q206" s="226"/>
    </row>
    <row r="207" spans="1:17">
      <c r="A207" s="205" t="s">
        <v>337</v>
      </c>
      <c r="B207" s="205" t="s">
        <v>338</v>
      </c>
      <c r="C207" s="225" t="str">
        <f t="shared" si="1"/>
        <v>40 HC</v>
      </c>
      <c r="D207" s="226">
        <f>'Rail (EXW)'!A73</f>
        <v>0</v>
      </c>
      <c r="E207" s="226">
        <f>'Rail (EXW)'!G73</f>
        <v>0</v>
      </c>
      <c r="F207" s="226">
        <f>'Rail (EXW)'!C73</f>
        <v>0</v>
      </c>
      <c r="G207" s="230">
        <f>'Rail (EXW)'!D73</f>
        <v>0</v>
      </c>
      <c r="H207" s="225" t="s">
        <v>56</v>
      </c>
      <c r="I207" s="226">
        <f>'Rail (EXW)'!H73</f>
        <v>0</v>
      </c>
      <c r="K207" s="205"/>
      <c r="M207" s="205"/>
      <c r="P207" s="206">
        <f>'Rail (EXW)'!E73</f>
        <v>0</v>
      </c>
    </row>
    <row r="208" spans="1:17">
      <c r="A208" s="205" t="s">
        <v>337</v>
      </c>
      <c r="B208" s="205" t="s">
        <v>338</v>
      </c>
      <c r="C208" s="225" t="str">
        <f t="shared" si="1"/>
        <v>40 HC</v>
      </c>
      <c r="D208" s="226" t="str">
        <f>'Rail (EXW)'!A74</f>
        <v>Chengdu</v>
      </c>
      <c r="E208" s="226" t="str">
        <f>'Rail (EXW)'!G74</f>
        <v>Alashankou/Khorgos</v>
      </c>
      <c r="F208" s="226" t="str">
        <f>'Rail (EXW)'!C74</f>
        <v>St. Peterburg</v>
      </c>
      <c r="G208" s="230">
        <f>'Rail (EXW)'!D74</f>
        <v>3500</v>
      </c>
      <c r="H208" s="225" t="s">
        <v>56</v>
      </c>
      <c r="I208" s="226" t="str">
        <f>'Rail (EXW)'!H74</f>
        <v>Shushary</v>
      </c>
      <c r="K208" s="205"/>
      <c r="M208" s="205"/>
      <c r="P208" s="206">
        <f>'Rail (EXW)'!E74</f>
        <v>45766</v>
      </c>
    </row>
    <row r="209" spans="1:16">
      <c r="A209" s="205" t="s">
        <v>337</v>
      </c>
      <c r="B209" s="205" t="s">
        <v>338</v>
      </c>
      <c r="C209" s="225" t="str">
        <f t="shared" si="1"/>
        <v>40 HC</v>
      </c>
      <c r="D209" s="226" t="str">
        <f>'Rail (EXW)'!A75</f>
        <v>Chongqing</v>
      </c>
      <c r="E209" s="226" t="str">
        <f>'Rail (EXW)'!G75</f>
        <v>Alashankou/Khorgos</v>
      </c>
      <c r="F209" s="226" t="str">
        <f>'Rail (EXW)'!C75</f>
        <v>St. Peterburg</v>
      </c>
      <c r="G209" s="230">
        <f>'Rail (EXW)'!D75</f>
        <v>4060</v>
      </c>
      <c r="H209" s="225" t="s">
        <v>56</v>
      </c>
      <c r="I209" s="226" t="str">
        <f>'Rail (EXW)'!H75</f>
        <v>Shushary</v>
      </c>
      <c r="K209" s="205"/>
      <c r="M209" s="205"/>
      <c r="P209" s="206">
        <f>'Rail (EXW)'!E75</f>
        <v>45766</v>
      </c>
    </row>
    <row r="210" spans="1:16">
      <c r="A210" s="205" t="s">
        <v>337</v>
      </c>
      <c r="B210" s="205" t="s">
        <v>338</v>
      </c>
      <c r="C210" s="225" t="str">
        <f t="shared" si="1"/>
        <v>40 HC</v>
      </c>
      <c r="D210" s="226" t="str">
        <f>'Rail (EXW)'!A76</f>
        <v>Shanghai/Suzhou</v>
      </c>
      <c r="E210" s="226" t="str">
        <f>'Rail (EXW)'!G76</f>
        <v>Alashankou/Khorgos</v>
      </c>
      <c r="F210" s="226" t="str">
        <f>'Rail (EXW)'!C76</f>
        <v>St. Peterburg</v>
      </c>
      <c r="G210" s="230">
        <f>'Rail (EXW)'!D76</f>
        <v>4600</v>
      </c>
      <c r="H210" s="225" t="s">
        <v>56</v>
      </c>
      <c r="I210" s="226" t="str">
        <f>'Rail (EXW)'!H76</f>
        <v>Shushary</v>
      </c>
      <c r="K210" s="205"/>
      <c r="M210" s="205"/>
      <c r="P210" s="206">
        <f>'Rail (EXW)'!E76</f>
        <v>45766</v>
      </c>
    </row>
    <row r="211" spans="1:16">
      <c r="A211" s="205" t="s">
        <v>337</v>
      </c>
      <c r="B211" s="205" t="s">
        <v>338</v>
      </c>
      <c r="C211" s="225" t="str">
        <f t="shared" si="1"/>
        <v>40 HC</v>
      </c>
      <c r="D211" s="226" t="str">
        <f>'Rail (EXW)'!A77</f>
        <v>Ningbo/Jiaxing</v>
      </c>
      <c r="E211" s="226" t="str">
        <f>'Rail (EXW)'!G77</f>
        <v>Alashankou/Khorgos</v>
      </c>
      <c r="F211" s="226" t="str">
        <f>'Rail (EXW)'!C77</f>
        <v>St. Peterburg</v>
      </c>
      <c r="G211" s="230">
        <f>'Rail (EXW)'!D77</f>
        <v>4800</v>
      </c>
      <c r="H211" s="225" t="s">
        <v>56</v>
      </c>
      <c r="I211" s="226" t="str">
        <f>'Rail (EXW)'!H77</f>
        <v>Shushary</v>
      </c>
      <c r="K211" s="205"/>
      <c r="M211" s="205"/>
      <c r="P211" s="206">
        <f>'Rail (EXW)'!E77</f>
        <v>45766</v>
      </c>
    </row>
    <row r="212" spans="1:16">
      <c r="A212" s="205" t="s">
        <v>337</v>
      </c>
      <c r="B212" s="205" t="s">
        <v>338</v>
      </c>
      <c r="C212" s="225" t="str">
        <f t="shared" si="1"/>
        <v>40 HC</v>
      </c>
      <c r="D212" s="226" t="str">
        <f>'Rail (EXW)'!A78</f>
        <v>Xiamen</v>
      </c>
      <c r="E212" s="226" t="str">
        <f>'Rail (EXW)'!G78</f>
        <v>Alashankou/Khorgos</v>
      </c>
      <c r="F212" s="226" t="str">
        <f>'Rail (EXW)'!C78</f>
        <v>St. Peterburg</v>
      </c>
      <c r="G212" s="230">
        <f>'Rail (EXW)'!D78</f>
        <v>5000</v>
      </c>
      <c r="H212" s="225" t="s">
        <v>56</v>
      </c>
      <c r="I212" s="226" t="str">
        <f>'Rail (EXW)'!H78</f>
        <v>Shushary</v>
      </c>
      <c r="K212" s="205"/>
      <c r="M212" s="205"/>
      <c r="P212" s="206">
        <f>'Rail (EXW)'!E78</f>
        <v>45766</v>
      </c>
    </row>
    <row r="213" spans="1:16">
      <c r="A213" s="205" t="s">
        <v>337</v>
      </c>
      <c r="B213" s="205" t="s">
        <v>338</v>
      </c>
      <c r="C213" s="225" t="str">
        <f t="shared" si="1"/>
        <v>40 HC</v>
      </c>
      <c r="D213" s="226" t="str">
        <f>'Rail (EXW)'!A79</f>
        <v>Wuxi</v>
      </c>
      <c r="E213" s="226" t="str">
        <f>'Rail (EXW)'!G79</f>
        <v>Alashankou/Khorgos</v>
      </c>
      <c r="F213" s="226" t="str">
        <f>'Rail (EXW)'!C79</f>
        <v>St. Peterburg</v>
      </c>
      <c r="G213" s="230">
        <f>'Rail (EXW)'!D79</f>
        <v>4650</v>
      </c>
      <c r="H213" s="225" t="s">
        <v>56</v>
      </c>
      <c r="I213" s="226" t="str">
        <f>'Rail (EXW)'!H79</f>
        <v>Shushary</v>
      </c>
      <c r="K213" s="205"/>
      <c r="M213" s="205"/>
      <c r="P213" s="206">
        <f>'Rail (EXW)'!E79</f>
        <v>45766</v>
      </c>
    </row>
    <row r="214" spans="1:16">
      <c r="A214" s="205" t="s">
        <v>337</v>
      </c>
      <c r="B214" s="205" t="s">
        <v>338</v>
      </c>
      <c r="C214" s="225" t="str">
        <f t="shared" si="1"/>
        <v>40 HC</v>
      </c>
      <c r="D214" s="226" t="str">
        <f>'Rail (EXW)'!A80</f>
        <v>Heze</v>
      </c>
      <c r="E214" s="226" t="str">
        <f>'Rail (EXW)'!G80</f>
        <v>Alashankou/Khorgos</v>
      </c>
      <c r="F214" s="226" t="str">
        <f>'Rail (EXW)'!C80</f>
        <v>St. Peterburg</v>
      </c>
      <c r="G214" s="230">
        <f>'Rail (EXW)'!D80</f>
        <v>4850</v>
      </c>
      <c r="H214" s="225" t="s">
        <v>56</v>
      </c>
      <c r="I214" s="226" t="str">
        <f>'Rail (EXW)'!H80</f>
        <v>Shushary</v>
      </c>
      <c r="K214" s="205"/>
      <c r="M214" s="205"/>
      <c r="P214" s="206">
        <f>'Rail (EXW)'!E80</f>
        <v>45766</v>
      </c>
    </row>
    <row r="215" spans="1:16">
      <c r="A215" s="205" t="s">
        <v>337</v>
      </c>
      <c r="B215" s="205" t="s">
        <v>338</v>
      </c>
      <c r="C215" s="225" t="str">
        <f t="shared" si="1"/>
        <v>40 HC</v>
      </c>
      <c r="D215" s="226" t="str">
        <f>'Rail (EXW)'!A81</f>
        <v>Guangzhou</v>
      </c>
      <c r="E215" s="226" t="str">
        <f>'Rail (EXW)'!G81</f>
        <v>Alashankou/Khorgos</v>
      </c>
      <c r="F215" s="226" t="str">
        <f>'Rail (EXW)'!C81</f>
        <v>St. Peterburg</v>
      </c>
      <c r="G215" s="230">
        <f>'Rail (EXW)'!D81</f>
        <v>4800</v>
      </c>
      <c r="H215" s="225" t="s">
        <v>56</v>
      </c>
      <c r="I215" s="226" t="str">
        <f>'Rail (EXW)'!H81</f>
        <v>Shushary</v>
      </c>
      <c r="K215" s="205"/>
      <c r="M215" s="205"/>
      <c r="P215" s="206">
        <f>'Rail (EXW)'!E81</f>
        <v>45766</v>
      </c>
    </row>
    <row r="216" spans="1:16">
      <c r="A216" s="205" t="s">
        <v>337</v>
      </c>
      <c r="B216" s="205" t="s">
        <v>338</v>
      </c>
      <c r="C216" s="225" t="str">
        <f t="shared" si="1"/>
        <v>40 HC</v>
      </c>
      <c r="D216" s="226" t="str">
        <f>'Rail (EXW)'!A82</f>
        <v>Shenzhen/Zhongshan/Dongguan</v>
      </c>
      <c r="E216" s="226" t="str">
        <f>'Rail (EXW)'!G82</f>
        <v>Alashankou/Khorgos</v>
      </c>
      <c r="F216" s="226" t="str">
        <f>'Rail (EXW)'!C82</f>
        <v>St. Peterburg</v>
      </c>
      <c r="G216" s="230">
        <f>'Rail (EXW)'!D82</f>
        <v>4850</v>
      </c>
      <c r="H216" s="225" t="s">
        <v>56</v>
      </c>
      <c r="I216" s="226" t="str">
        <f>'Rail (EXW)'!H82</f>
        <v>Shushary</v>
      </c>
      <c r="K216" s="205"/>
      <c r="M216" s="205"/>
      <c r="P216" s="206">
        <f>'Rail (EXW)'!E82</f>
        <v>45766</v>
      </c>
    </row>
    <row r="217" spans="1:16">
      <c r="A217" s="205" t="s">
        <v>337</v>
      </c>
      <c r="B217" s="205" t="s">
        <v>338</v>
      </c>
      <c r="C217" s="225" t="str">
        <f t="shared" si="1"/>
        <v>40 HC</v>
      </c>
      <c r="D217" s="226" t="str">
        <f>'Rail (EXW)'!A83</f>
        <v>Shantou/Chaozhou/Jieyang</v>
      </c>
      <c r="E217" s="226" t="str">
        <f>'Rail (EXW)'!G83</f>
        <v>Alashankou/Khorgos</v>
      </c>
      <c r="F217" s="226">
        <f>'Rail (EXW)'!C83</f>
        <v>0</v>
      </c>
      <c r="G217" s="230">
        <f>'Rail (EXW)'!D83</f>
        <v>5300</v>
      </c>
      <c r="H217" s="225" t="s">
        <v>56</v>
      </c>
      <c r="I217" s="226" t="str">
        <f>'Rail (EXW)'!H83</f>
        <v>Shushary</v>
      </c>
      <c r="K217" s="205"/>
      <c r="M217" s="205"/>
      <c r="P217" s="206">
        <f>'Rail (EXW)'!E83</f>
        <v>45766</v>
      </c>
    </row>
    <row r="218" spans="1:16">
      <c r="A218" s="205" t="s">
        <v>337</v>
      </c>
      <c r="B218" s="205" t="s">
        <v>338</v>
      </c>
      <c r="C218" s="225" t="str">
        <f t="shared" si="1"/>
        <v>40 HC</v>
      </c>
      <c r="D218" s="226">
        <f>'Rail (EXW)'!A84</f>
        <v>0</v>
      </c>
      <c r="E218" s="226">
        <f>'Rail (EXW)'!G84</f>
        <v>0</v>
      </c>
      <c r="F218" s="226">
        <f>'Rail (EXW)'!C84</f>
        <v>0</v>
      </c>
      <c r="G218" s="230">
        <f>'Rail (EXW)'!D84</f>
        <v>0</v>
      </c>
      <c r="H218" s="225" t="s">
        <v>56</v>
      </c>
      <c r="I218" s="226">
        <f>'Rail (EXW)'!H84</f>
        <v>0</v>
      </c>
      <c r="K218" s="205"/>
      <c r="M218" s="205"/>
      <c r="P218" s="206">
        <f>'Rail (EXW)'!E84</f>
        <v>0</v>
      </c>
    </row>
    <row r="219" spans="1:16">
      <c r="A219" s="205" t="s">
        <v>337</v>
      </c>
      <c r="B219" s="205" t="s">
        <v>338</v>
      </c>
      <c r="C219" s="225" t="str">
        <f t="shared" si="1"/>
        <v>40 HC</v>
      </c>
      <c r="D219" s="226" t="str">
        <f>'Rail (EXW)'!A85</f>
        <v>Tianjin</v>
      </c>
      <c r="E219" s="226" t="str">
        <f>'Rail (EXW)'!G85</f>
        <v>Khorgos</v>
      </c>
      <c r="F219" s="226" t="str">
        <f>'Rail (EXW)'!C85</f>
        <v>St. Peterburg</v>
      </c>
      <c r="G219" s="230">
        <f>'Rail (EXW)'!D85</f>
        <v>5550</v>
      </c>
      <c r="H219" s="225" t="s">
        <v>56</v>
      </c>
      <c r="I219" s="226" t="str">
        <f>'Rail (EXW)'!H85</f>
        <v>Shushary</v>
      </c>
      <c r="K219" s="205"/>
      <c r="M219" s="205"/>
      <c r="P219" s="206">
        <f>'Rail (EXW)'!E85</f>
        <v>45766</v>
      </c>
    </row>
    <row r="220" spans="1:16">
      <c r="A220" s="205" t="s">
        <v>337</v>
      </c>
      <c r="B220" s="205" t="s">
        <v>338</v>
      </c>
      <c r="C220" s="225" t="str">
        <f t="shared" si="1"/>
        <v>40 HC</v>
      </c>
      <c r="D220" s="226" t="str">
        <f>'Rail (EXW)'!A86</f>
        <v>Qingdao</v>
      </c>
      <c r="E220" s="226" t="str">
        <f>'Rail (EXW)'!G86</f>
        <v>Khorgos</v>
      </c>
      <c r="F220" s="226" t="str">
        <f>'Rail (EXW)'!C86</f>
        <v>St. Peterburg</v>
      </c>
      <c r="G220" s="230">
        <f>'Rail (EXW)'!D86</f>
        <v>5500</v>
      </c>
      <c r="H220" s="225" t="s">
        <v>56</v>
      </c>
      <c r="I220" s="226" t="str">
        <f>'Rail (EXW)'!H86</f>
        <v>Shushary</v>
      </c>
      <c r="K220" s="205"/>
      <c r="M220" s="205"/>
      <c r="P220" s="206">
        <f>'Rail (EXW)'!E86</f>
        <v>45766</v>
      </c>
    </row>
    <row r="221" spans="1:16">
      <c r="A221" s="205" t="s">
        <v>337</v>
      </c>
      <c r="B221" s="205" t="s">
        <v>338</v>
      </c>
      <c r="C221" s="225" t="str">
        <f t="shared" si="1"/>
        <v>40 HC</v>
      </c>
      <c r="D221" s="226" t="str">
        <f>'Rail (EXW)'!A87</f>
        <v>Xiamen</v>
      </c>
      <c r="E221" s="226" t="str">
        <f>'Rail (EXW)'!G87</f>
        <v>Khorgos</v>
      </c>
      <c r="F221" s="226" t="str">
        <f>'Rail (EXW)'!C87</f>
        <v>St. Peterburg</v>
      </c>
      <c r="G221" s="230">
        <f>'Rail (EXW)'!D87</f>
        <v>6050</v>
      </c>
      <c r="H221" s="225" t="s">
        <v>56</v>
      </c>
      <c r="I221" s="226" t="str">
        <f>'Rail (EXW)'!H87</f>
        <v>Shushary</v>
      </c>
      <c r="K221" s="205"/>
      <c r="M221" s="205"/>
      <c r="P221" s="206">
        <f>'Rail (EXW)'!E87</f>
        <v>45766</v>
      </c>
    </row>
    <row r="222" spans="1:16">
      <c r="A222" s="205" t="s">
        <v>337</v>
      </c>
      <c r="B222" s="205" t="s">
        <v>338</v>
      </c>
      <c r="C222" s="225" t="str">
        <f t="shared" si="1"/>
        <v>40 HC</v>
      </c>
      <c r="D222" s="226">
        <f>'Rail (EXW)'!A88</f>
        <v>0</v>
      </c>
      <c r="E222" s="226">
        <f>'Rail (EXW)'!G88</f>
        <v>0</v>
      </c>
      <c r="F222" s="226">
        <f>'Rail (EXW)'!C88</f>
        <v>0</v>
      </c>
      <c r="G222" s="230">
        <f>'Rail (EXW)'!D88</f>
        <v>0</v>
      </c>
      <c r="H222" s="225" t="s">
        <v>56</v>
      </c>
      <c r="I222" s="226">
        <f>'Rail (EXW)'!H88</f>
        <v>0</v>
      </c>
      <c r="K222" s="205"/>
      <c r="M222" s="205"/>
      <c r="P222" s="206">
        <f>'Rail (EXW)'!E88</f>
        <v>0</v>
      </c>
    </row>
    <row r="223" spans="1:16">
      <c r="A223" s="205" t="s">
        <v>337</v>
      </c>
      <c r="B223" s="205" t="s">
        <v>338</v>
      </c>
      <c r="C223" s="225" t="str">
        <f t="shared" si="1"/>
        <v>40 HC</v>
      </c>
      <c r="D223" s="226" t="str">
        <f>'Rail (EXW)'!A89</f>
        <v>Shanghai/Suzhou/Changzhou/Zhenjiang/Nantong</v>
      </c>
      <c r="E223" s="226" t="str">
        <f>'Rail (EXW)'!G89</f>
        <v>Manzhouli</v>
      </c>
      <c r="F223" s="226" t="str">
        <f>'Rail (EXW)'!C89</f>
        <v>St. Peterburg</v>
      </c>
      <c r="G223" s="230">
        <f>'Rail (EXW)'!D89</f>
        <v>5430</v>
      </c>
      <c r="H223" s="225" t="s">
        <v>56</v>
      </c>
      <c r="I223" s="226" t="str">
        <f>'Rail (EXW)'!H89</f>
        <v>Shushary</v>
      </c>
      <c r="K223" s="205"/>
      <c r="M223" s="205"/>
      <c r="P223" s="206">
        <f>'Rail (EXW)'!E89</f>
        <v>45773</v>
      </c>
    </row>
    <row r="224" spans="1:16">
      <c r="A224" s="205" t="s">
        <v>337</v>
      </c>
      <c r="B224" s="205" t="s">
        <v>338</v>
      </c>
      <c r="C224" s="225" t="str">
        <f t="shared" si="1"/>
        <v>40 HC</v>
      </c>
      <c r="D224" s="226" t="str">
        <f>'Rail (EXW)'!A90</f>
        <v>Tianjin</v>
      </c>
      <c r="E224" s="226" t="str">
        <f>'Rail (EXW)'!G90</f>
        <v>Manzhouli</v>
      </c>
      <c r="F224" s="226" t="str">
        <f>'Rail (EXW)'!C90</f>
        <v>St. Peterburg</v>
      </c>
      <c r="G224" s="230">
        <f>'Rail (EXW)'!D90</f>
        <v>5400</v>
      </c>
      <c r="H224" s="225" t="s">
        <v>56</v>
      </c>
      <c r="I224" s="226" t="str">
        <f>'Rail (EXW)'!H90</f>
        <v>Shushary</v>
      </c>
      <c r="K224" s="205"/>
      <c r="M224" s="205"/>
      <c r="P224" s="206">
        <f>'Rail (EXW)'!E90</f>
        <v>45773</v>
      </c>
    </row>
    <row r="225" spans="1:16">
      <c r="A225" s="205" t="s">
        <v>337</v>
      </c>
      <c r="B225" s="205" t="s">
        <v>338</v>
      </c>
      <c r="C225" s="225" t="str">
        <f t="shared" si="1"/>
        <v>40 HC</v>
      </c>
      <c r="D225" s="226" t="str">
        <f>'Rail (EXW)'!A91</f>
        <v>Qingdao</v>
      </c>
      <c r="E225" s="226" t="str">
        <f>'Rail (EXW)'!G91</f>
        <v>Manzhouli</v>
      </c>
      <c r="F225" s="226" t="str">
        <f>'Rail (EXW)'!C91</f>
        <v>St. Peterburg</v>
      </c>
      <c r="G225" s="230">
        <f>'Rail (EXW)'!D91</f>
        <v>5300</v>
      </c>
      <c r="H225" s="225" t="s">
        <v>56</v>
      </c>
      <c r="I225" s="226" t="str">
        <f>'Rail (EXW)'!H91</f>
        <v>Shushary</v>
      </c>
      <c r="K225" s="205"/>
      <c r="M225" s="205"/>
      <c r="P225" s="206">
        <f>'Rail (EXW)'!E91</f>
        <v>45773</v>
      </c>
    </row>
    <row r="226" spans="1:16">
      <c r="A226" s="205" t="s">
        <v>337</v>
      </c>
      <c r="B226" s="205" t="s">
        <v>338</v>
      </c>
      <c r="C226" s="225" t="str">
        <f t="shared" si="1"/>
        <v>40 HC</v>
      </c>
      <c r="D226" s="226">
        <f>'Rail (EXW)'!A92</f>
        <v>0</v>
      </c>
      <c r="E226" s="226">
        <f>'Rail (EXW)'!G92</f>
        <v>0</v>
      </c>
      <c r="F226" s="226">
        <f>'Rail (EXW)'!C92</f>
        <v>0</v>
      </c>
      <c r="G226" s="230">
        <f>'Rail (EXW)'!D92</f>
        <v>0</v>
      </c>
      <c r="H226" s="225" t="s">
        <v>56</v>
      </c>
      <c r="I226" s="226">
        <f>'Rail (EXW)'!H92</f>
        <v>0</v>
      </c>
      <c r="K226" s="205"/>
      <c r="M226" s="205"/>
      <c r="P226" s="206">
        <f>'Rail (EXW)'!E92</f>
        <v>0</v>
      </c>
    </row>
    <row r="227" spans="1:16">
      <c r="A227" s="205" t="s">
        <v>337</v>
      </c>
      <c r="B227" s="205" t="s">
        <v>338</v>
      </c>
      <c r="C227" s="225" t="str">
        <f t="shared" si="1"/>
        <v>40 HC</v>
      </c>
      <c r="D227" s="226" t="str">
        <f>'Rail (EXW)'!A93</f>
        <v>Chongqing</v>
      </c>
      <c r="E227" s="226" t="str">
        <f>'Rail (EXW)'!G93</f>
        <v>Manzhouli</v>
      </c>
      <c r="F227" s="226" t="str">
        <f>'Rail (EXW)'!C93</f>
        <v>St. Peterburg</v>
      </c>
      <c r="G227" s="230">
        <f>'Rail (EXW)'!D93</f>
        <v>4300</v>
      </c>
      <c r="H227" s="225" t="s">
        <v>56</v>
      </c>
      <c r="I227" s="226" t="str">
        <f>'Rail (EXW)'!H93</f>
        <v>Shushary</v>
      </c>
      <c r="K227" s="205"/>
      <c r="M227" s="205"/>
      <c r="P227" s="206">
        <f>'Rail (EXW)'!E93</f>
        <v>45775</v>
      </c>
    </row>
    <row r="228" spans="1:16">
      <c r="A228" s="205" t="s">
        <v>337</v>
      </c>
      <c r="B228" s="205" t="s">
        <v>338</v>
      </c>
      <c r="C228" s="225" t="str">
        <f t="shared" si="1"/>
        <v>40 HC</v>
      </c>
      <c r="D228" s="226" t="str">
        <f>'Rail (EXW)'!A94</f>
        <v>Dongguan</v>
      </c>
      <c r="E228" s="226" t="str">
        <f>'Rail (EXW)'!G94</f>
        <v>Manzhouli</v>
      </c>
      <c r="F228" s="226" t="str">
        <f>'Rail (EXW)'!C94</f>
        <v>St. Peterburg</v>
      </c>
      <c r="G228" s="230">
        <f>'Rail (EXW)'!D94</f>
        <v>5000</v>
      </c>
      <c r="H228" s="225" t="s">
        <v>56</v>
      </c>
      <c r="I228" s="226" t="str">
        <f>'Rail (EXW)'!H94</f>
        <v>Shushary</v>
      </c>
      <c r="K228" s="205"/>
      <c r="M228" s="205"/>
      <c r="P228" s="206">
        <f>'Rail (EXW)'!E94</f>
        <v>45775</v>
      </c>
    </row>
    <row r="229" spans="1:16">
      <c r="A229" s="205" t="s">
        <v>337</v>
      </c>
      <c r="B229" s="205" t="s">
        <v>338</v>
      </c>
      <c r="C229" s="225" t="str">
        <f t="shared" si="1"/>
        <v>40 HC</v>
      </c>
      <c r="D229" s="226" t="str">
        <f>'Rail (EXW)'!A95</f>
        <v>Zhuhai</v>
      </c>
      <c r="E229" s="226" t="str">
        <f>'Rail (EXW)'!G95</f>
        <v>Manzhouli</v>
      </c>
      <c r="F229" s="226" t="str">
        <f>'Rail (EXW)'!C95</f>
        <v>St. Peterburg</v>
      </c>
      <c r="G229" s="230">
        <f>'Rail (EXW)'!D95</f>
        <v>5100</v>
      </c>
      <c r="H229" s="225" t="s">
        <v>56</v>
      </c>
      <c r="I229" s="226" t="str">
        <f>'Rail (EXW)'!H95</f>
        <v>Shushary</v>
      </c>
      <c r="K229" s="205"/>
      <c r="M229" s="205"/>
      <c r="P229" s="206">
        <f>'Rail (EXW)'!E95</f>
        <v>45775</v>
      </c>
    </row>
    <row r="230" spans="1:16">
      <c r="A230" s="205" t="s">
        <v>337</v>
      </c>
      <c r="B230" s="205" t="s">
        <v>338</v>
      </c>
      <c r="C230" s="225" t="str">
        <f t="shared" si="1"/>
        <v>40 HC</v>
      </c>
      <c r="D230" s="226" t="str">
        <f>'Rail (EXW)'!A96</f>
        <v>Shenzhen/Jiangmen/Zhongshan</v>
      </c>
      <c r="E230" s="226" t="str">
        <f>'Rail (EXW)'!G96</f>
        <v>Manzhouli</v>
      </c>
      <c r="F230" s="226" t="str">
        <f>'Rail (EXW)'!C96</f>
        <v>St. Peterburg</v>
      </c>
      <c r="G230" s="230">
        <f>'Rail (EXW)'!D96</f>
        <v>5050</v>
      </c>
      <c r="H230" s="225" t="s">
        <v>56</v>
      </c>
      <c r="I230" s="226" t="str">
        <f>'Rail (EXW)'!H96</f>
        <v>Shushary</v>
      </c>
      <c r="K230" s="205"/>
      <c r="M230" s="205"/>
      <c r="P230" s="206">
        <f>'Rail (EXW)'!E96</f>
        <v>45775</v>
      </c>
    </row>
    <row r="231" spans="1:16">
      <c r="A231" s="205" t="s">
        <v>337</v>
      </c>
      <c r="B231" s="205" t="s">
        <v>338</v>
      </c>
      <c r="C231" s="225" t="str">
        <f t="shared" si="1"/>
        <v>40 HC</v>
      </c>
      <c r="D231" s="226" t="str">
        <f>'Rail (EXW)'!A97</f>
        <v>Guangzhou</v>
      </c>
      <c r="E231" s="226" t="str">
        <f>'Rail (EXW)'!G97</f>
        <v>Manzhouli</v>
      </c>
      <c r="F231" s="226" t="str">
        <f>'Rail (EXW)'!C97</f>
        <v>St. Peterburg</v>
      </c>
      <c r="G231" s="230">
        <f>'Rail (EXW)'!D97</f>
        <v>4950</v>
      </c>
      <c r="H231" s="225" t="s">
        <v>56</v>
      </c>
      <c r="I231" s="226" t="str">
        <f>'Rail (EXW)'!H97</f>
        <v>Shushary</v>
      </c>
      <c r="K231" s="205"/>
      <c r="M231" s="205"/>
      <c r="P231" s="206">
        <f>'Rail (EXW)'!E97</f>
        <v>45775</v>
      </c>
    </row>
    <row r="232" spans="1:16">
      <c r="A232" s="205" t="s">
        <v>337</v>
      </c>
      <c r="B232" s="205" t="s">
        <v>338</v>
      </c>
      <c r="C232" s="225" t="str">
        <f t="shared" si="1"/>
        <v>40 HC</v>
      </c>
      <c r="D232" s="226" t="str">
        <f>'Rail (EXW)'!A98</f>
        <v>Foshan</v>
      </c>
      <c r="E232" s="226" t="str">
        <f>'Rail (EXW)'!G98</f>
        <v>Manzhouli</v>
      </c>
      <c r="F232" s="226" t="str">
        <f>'Rail (EXW)'!C98</f>
        <v>St. Peterburg</v>
      </c>
      <c r="G232" s="230">
        <f>'Rail (EXW)'!D98</f>
        <v>5000</v>
      </c>
      <c r="H232" s="225" t="s">
        <v>56</v>
      </c>
      <c r="I232" s="226" t="str">
        <f>'Rail (EXW)'!H98</f>
        <v>Shushary</v>
      </c>
      <c r="K232" s="205"/>
      <c r="M232" s="205"/>
      <c r="P232" s="206">
        <f>'Rail (EXW)'!E98</f>
        <v>45775</v>
      </c>
    </row>
    <row r="233" spans="1:16">
      <c r="A233" s="205" t="s">
        <v>337</v>
      </c>
      <c r="B233" s="205" t="s">
        <v>338</v>
      </c>
      <c r="C233" s="225" t="str">
        <f t="shared" si="1"/>
        <v>40 HC</v>
      </c>
      <c r="D233" s="226" t="str">
        <f>'Rail (EXW)'!A99</f>
        <v>Shanghai</v>
      </c>
      <c r="E233" s="226" t="str">
        <f>'Rail (EXW)'!G99</f>
        <v>Manzhouli</v>
      </c>
      <c r="F233" s="226" t="str">
        <f>'Rail (EXW)'!C99</f>
        <v>St. Peterburg</v>
      </c>
      <c r="G233" s="230">
        <f>'Rail (EXW)'!D99</f>
        <v>5150</v>
      </c>
      <c r="H233" s="225" t="s">
        <v>56</v>
      </c>
      <c r="I233" s="226" t="str">
        <f>'Rail (EXW)'!H99</f>
        <v>Shushary</v>
      </c>
      <c r="K233" s="205"/>
      <c r="M233" s="205"/>
      <c r="P233" s="206">
        <f>'Rail (EXW)'!E99</f>
        <v>45775</v>
      </c>
    </row>
    <row r="234" spans="1:16">
      <c r="A234" s="205" t="s">
        <v>337</v>
      </c>
      <c r="B234" s="205" t="s">
        <v>338</v>
      </c>
      <c r="C234" s="225" t="str">
        <f t="shared" si="1"/>
        <v>40 HC</v>
      </c>
      <c r="D234" s="226" t="str">
        <f>'Rail (EXW)'!A100</f>
        <v>Jiaxing</v>
      </c>
      <c r="E234" s="226" t="str">
        <f>'Rail (EXW)'!G100</f>
        <v>Manzhouli</v>
      </c>
      <c r="F234" s="226" t="str">
        <f>'Rail (EXW)'!C100</f>
        <v>St. Peterburg</v>
      </c>
      <c r="G234" s="230">
        <f>'Rail (EXW)'!D100</f>
        <v>5200</v>
      </c>
      <c r="H234" s="225" t="s">
        <v>56</v>
      </c>
      <c r="I234" s="226" t="str">
        <f>'Rail (EXW)'!H100</f>
        <v>Shushary</v>
      </c>
      <c r="K234" s="205"/>
      <c r="M234" s="205"/>
      <c r="P234" s="206">
        <f>'Rail (EXW)'!E100</f>
        <v>45775</v>
      </c>
    </row>
    <row r="235" spans="1:16">
      <c r="A235" s="205" t="s">
        <v>337</v>
      </c>
      <c r="B235" s="205" t="s">
        <v>338</v>
      </c>
      <c r="C235" s="225" t="str">
        <f t="shared" si="1"/>
        <v>40 HC</v>
      </c>
      <c r="D235" s="226" t="str">
        <f>'Rail (EXW)'!A101</f>
        <v>Ningbo</v>
      </c>
      <c r="E235" s="226">
        <f>'Rail (EXW)'!G101</f>
        <v>0</v>
      </c>
      <c r="F235" s="226" t="str">
        <f>'Rail (EXW)'!C101</f>
        <v>St. Peterburg</v>
      </c>
      <c r="G235" s="230">
        <f>'Rail (EXW)'!D101</f>
        <v>5650</v>
      </c>
      <c r="H235" s="225" t="s">
        <v>56</v>
      </c>
      <c r="I235" s="226">
        <f>'Rail (EXW)'!H101</f>
        <v>0</v>
      </c>
      <c r="K235" s="205"/>
      <c r="M235" s="205"/>
      <c r="P235" s="206">
        <f>'Rail (EXW)'!E101</f>
        <v>0</v>
      </c>
    </row>
    <row r="236" spans="1:16">
      <c r="A236" s="205" t="s">
        <v>337</v>
      </c>
      <c r="B236" s="205" t="s">
        <v>338</v>
      </c>
      <c r="C236" s="225" t="str">
        <f t="shared" si="1"/>
        <v>40 HC</v>
      </c>
      <c r="D236" s="226">
        <f>'Rail (EXW)'!A102</f>
        <v>0</v>
      </c>
      <c r="E236" s="226">
        <f>'Rail (EXW)'!G102</f>
        <v>0</v>
      </c>
      <c r="F236" s="226">
        <f>'Rail (EXW)'!C102</f>
        <v>0</v>
      </c>
      <c r="G236" s="230">
        <f>'Rail (EXW)'!D102</f>
        <v>0</v>
      </c>
      <c r="H236" s="225" t="s">
        <v>56</v>
      </c>
      <c r="I236" s="226">
        <f>'Rail (EXW)'!H102</f>
        <v>0</v>
      </c>
      <c r="K236" s="205"/>
      <c r="M236" s="205"/>
      <c r="P236" s="206">
        <f>'Rail (EXW)'!E102</f>
        <v>0</v>
      </c>
    </row>
    <row r="237" spans="1:16">
      <c r="A237" s="205" t="s">
        <v>337</v>
      </c>
      <c r="B237" s="205" t="s">
        <v>338</v>
      </c>
      <c r="C237" s="225" t="str">
        <f t="shared" si="1"/>
        <v>40 HC</v>
      </c>
      <c r="D237" s="226" t="str">
        <f>'Rail (EXW)'!A103</f>
        <v>Ningbo</v>
      </c>
      <c r="E237" s="226" t="str">
        <f>'Rail (EXW)'!G103</f>
        <v>Manzhouli</v>
      </c>
      <c r="F237" s="226" t="str">
        <f>'Rail (EXW)'!C103</f>
        <v>St. Peterburg</v>
      </c>
      <c r="G237" s="230">
        <f>'Rail (EXW)'!D103</f>
        <v>5600</v>
      </c>
      <c r="H237" s="225" t="s">
        <v>56</v>
      </c>
      <c r="I237" s="226" t="str">
        <f>'Rail (EXW)'!H103</f>
        <v>Shushary</v>
      </c>
      <c r="K237" s="205"/>
      <c r="M237" s="205"/>
      <c r="P237" s="206" t="str">
        <f>'Rail (EXW)'!E103</f>
        <v>Mid to late April</v>
      </c>
    </row>
    <row r="238" spans="1:16">
      <c r="A238" s="205" t="s">
        <v>337</v>
      </c>
      <c r="B238" s="205" t="s">
        <v>338</v>
      </c>
      <c r="C238" s="225" t="str">
        <f t="shared" si="1"/>
        <v>40 HC</v>
      </c>
      <c r="D238" s="226" t="str">
        <f>'Rail (EXW)'!A104</f>
        <v>Shaoxing</v>
      </c>
      <c r="E238" s="226" t="str">
        <f>'Rail (EXW)'!G104</f>
        <v>Manzhouli</v>
      </c>
      <c r="F238" s="226" t="str">
        <f>'Rail (EXW)'!C104</f>
        <v>St. Peterburg</v>
      </c>
      <c r="G238" s="230">
        <f>'Rail (EXW)'!D104</f>
        <v>5600</v>
      </c>
      <c r="H238" s="225" t="s">
        <v>56</v>
      </c>
      <c r="I238" s="226" t="str">
        <f>'Rail (EXW)'!H104</f>
        <v>Shushary</v>
      </c>
      <c r="K238" s="205"/>
      <c r="M238" s="205"/>
      <c r="P238" s="206" t="str">
        <f>'Rail (EXW)'!E104</f>
        <v>Mid to late April</v>
      </c>
    </row>
    <row r="239" spans="1:16">
      <c r="A239" s="205" t="s">
        <v>337</v>
      </c>
      <c r="B239" s="205" t="s">
        <v>338</v>
      </c>
      <c r="C239" s="225" t="str">
        <f t="shared" si="1"/>
        <v>40 HC</v>
      </c>
      <c r="D239" s="226" t="str">
        <f>'Rail (EXW)'!A105</f>
        <v>Hangzhou</v>
      </c>
      <c r="E239" s="226" t="str">
        <f>'Rail (EXW)'!G105</f>
        <v>Manzhouli</v>
      </c>
      <c r="F239" s="226" t="str">
        <f>'Rail (EXW)'!C105</f>
        <v>St. Peterburg</v>
      </c>
      <c r="G239" s="230">
        <f>'Rail (EXW)'!D105</f>
        <v>5600</v>
      </c>
      <c r="H239" s="225" t="s">
        <v>56</v>
      </c>
      <c r="I239" s="226" t="str">
        <f>'Rail (EXW)'!H105</f>
        <v>Shushary</v>
      </c>
      <c r="K239" s="205"/>
      <c r="M239" s="205"/>
      <c r="P239" s="206" t="str">
        <f>'Rail (EXW)'!E105</f>
        <v>Mid to late April</v>
      </c>
    </row>
    <row r="240" spans="1:16">
      <c r="A240" s="205" t="s">
        <v>337</v>
      </c>
      <c r="B240" s="205" t="s">
        <v>338</v>
      </c>
      <c r="C240" s="225" t="str">
        <f t="shared" si="1"/>
        <v>40 HC</v>
      </c>
      <c r="D240" s="226">
        <f>'Rail (EXW)'!A106</f>
        <v>0</v>
      </c>
      <c r="E240" s="226">
        <f>'Rail (EXW)'!G106</f>
        <v>0</v>
      </c>
      <c r="F240" s="226">
        <f>'Rail (EXW)'!C106</f>
        <v>0</v>
      </c>
      <c r="G240" s="230">
        <f>'Rail (EXW)'!D106</f>
        <v>0</v>
      </c>
      <c r="H240" s="225" t="s">
        <v>56</v>
      </c>
      <c r="I240" s="226">
        <f>'Rail (EXW)'!H106</f>
        <v>0</v>
      </c>
      <c r="K240" s="205"/>
      <c r="M240" s="205"/>
      <c r="P240" s="206">
        <f>'Rail (EXW)'!E106</f>
        <v>0</v>
      </c>
    </row>
    <row r="241" spans="1:16">
      <c r="A241" s="205" t="s">
        <v>337</v>
      </c>
      <c r="B241" s="205" t="s">
        <v>338</v>
      </c>
      <c r="C241" s="225" t="str">
        <f t="shared" si="1"/>
        <v>40 HC</v>
      </c>
      <c r="D241" s="226" t="str">
        <f>'Rail (EXW)'!A107</f>
        <v>Shanghai</v>
      </c>
      <c r="E241" s="226" t="str">
        <f>'Rail (EXW)'!G107</f>
        <v>Manzhouli</v>
      </c>
      <c r="F241" s="226" t="str">
        <f>'Rail (EXW)'!C107</f>
        <v>St. Peterburg</v>
      </c>
      <c r="G241" s="230">
        <f>'Rail (EXW)'!D107</f>
        <v>5550</v>
      </c>
      <c r="H241" s="225" t="s">
        <v>56</v>
      </c>
      <c r="I241" s="226" t="str">
        <f>'Rail (EXW)'!H107</f>
        <v>Shushary</v>
      </c>
      <c r="K241" s="205"/>
      <c r="M241" s="205"/>
      <c r="P241" s="206" t="str">
        <f>'Rail (EXW)'!E107</f>
        <v>4.16/4.19/4.23/4.26</v>
      </c>
    </row>
    <row r="242" spans="1:16">
      <c r="A242" s="205" t="s">
        <v>337</v>
      </c>
      <c r="B242" s="205" t="s">
        <v>338</v>
      </c>
      <c r="C242" s="225" t="str">
        <f t="shared" si="1"/>
        <v>40 HC</v>
      </c>
      <c r="D242" s="226" t="str">
        <f>'Rail (EXW)'!A108</f>
        <v>Ningbo</v>
      </c>
      <c r="E242" s="226" t="str">
        <f>'Rail (EXW)'!G108</f>
        <v>Manzhouli</v>
      </c>
      <c r="F242" s="226" t="str">
        <f>'Rail (EXW)'!C108</f>
        <v>St. Peterburg</v>
      </c>
      <c r="G242" s="230">
        <f>'Rail (EXW)'!D108</f>
        <v>5550</v>
      </c>
      <c r="H242" s="225" t="s">
        <v>56</v>
      </c>
      <c r="I242" s="226" t="str">
        <f>'Rail (EXW)'!H108</f>
        <v>Shushary</v>
      </c>
      <c r="K242" s="205"/>
      <c r="M242" s="205"/>
      <c r="P242" s="206" t="str">
        <f>'Rail (EXW)'!E108</f>
        <v>4.16/4.19/4.23/4.26</v>
      </c>
    </row>
    <row r="243" spans="1:16">
      <c r="A243" s="205" t="s">
        <v>337</v>
      </c>
      <c r="B243" s="205" t="s">
        <v>338</v>
      </c>
      <c r="C243" s="225" t="str">
        <f t="shared" si="1"/>
        <v>40 HC</v>
      </c>
      <c r="D243" s="226" t="str">
        <f>'Rail (EXW)'!A109</f>
        <v>Suzhou</v>
      </c>
      <c r="E243" s="226" t="str">
        <f>'Rail (EXW)'!G109</f>
        <v>Manzhouli</v>
      </c>
      <c r="F243" s="226" t="str">
        <f>'Rail (EXW)'!C109</f>
        <v>St. Peterburg</v>
      </c>
      <c r="G243" s="230">
        <f>'Rail (EXW)'!D109</f>
        <v>5550</v>
      </c>
      <c r="H243" s="225" t="s">
        <v>56</v>
      </c>
      <c r="I243" s="226" t="str">
        <f>'Rail (EXW)'!H109</f>
        <v>Shushary</v>
      </c>
      <c r="K243" s="205"/>
      <c r="M243" s="205"/>
      <c r="P243" s="206" t="str">
        <f>'Rail (EXW)'!E109</f>
        <v>4.16/4.19/4.23/4.26</v>
      </c>
    </row>
    <row r="244" spans="1:16">
      <c r="A244" s="205" t="s">
        <v>337</v>
      </c>
      <c r="B244" s="205" t="s">
        <v>338</v>
      </c>
      <c r="C244" s="225" t="str">
        <f t="shared" si="1"/>
        <v>40 HC</v>
      </c>
      <c r="D244" s="226" t="str">
        <f>'Rail (EXW)'!A110</f>
        <v>Guangzhou</v>
      </c>
      <c r="E244" s="226" t="str">
        <f>'Rail (EXW)'!G110</f>
        <v>Manzhouli</v>
      </c>
      <c r="F244" s="226" t="str">
        <f>'Rail (EXW)'!C110</f>
        <v>St. Peterburg</v>
      </c>
      <c r="G244" s="230">
        <f>'Rail (EXW)'!D110</f>
        <v>5300</v>
      </c>
      <c r="H244" s="225" t="s">
        <v>56</v>
      </c>
      <c r="I244" s="226" t="str">
        <f>'Rail (EXW)'!H110</f>
        <v>Shushary</v>
      </c>
      <c r="K244" s="205"/>
      <c r="M244" s="205"/>
      <c r="P244" s="206" t="str">
        <f>'Rail (EXW)'!E110</f>
        <v>4.18/4.28</v>
      </c>
    </row>
    <row r="245" spans="1:16">
      <c r="A245" s="205" t="s">
        <v>337</v>
      </c>
      <c r="B245" s="205" t="s">
        <v>338</v>
      </c>
      <c r="C245" s="225" t="str">
        <f t="shared" si="1"/>
        <v>40 HC</v>
      </c>
      <c r="D245" s="226" t="str">
        <f>'Rail (EXW)'!A111</f>
        <v>Shenzhen/Foshan/Donggguan/Zhongshan</v>
      </c>
      <c r="E245" s="226" t="str">
        <f>'Rail (EXW)'!G111</f>
        <v>Manzhouli</v>
      </c>
      <c r="F245" s="226" t="str">
        <f>'Rail (EXW)'!C111</f>
        <v>St. Peterburg</v>
      </c>
      <c r="G245" s="230">
        <f>'Rail (EXW)'!D111</f>
        <v>5350</v>
      </c>
      <c r="H245" s="225" t="s">
        <v>56</v>
      </c>
      <c r="I245" s="226" t="str">
        <f>'Rail (EXW)'!H111</f>
        <v>Shushary</v>
      </c>
      <c r="K245" s="205"/>
      <c r="M245" s="205"/>
      <c r="P245" s="206" t="str">
        <f>'Rail (EXW)'!E111</f>
        <v>4.18/4.28</v>
      </c>
    </row>
    <row r="246" spans="1:16">
      <c r="A246" s="205" t="s">
        <v>337</v>
      </c>
      <c r="B246" s="205" t="s">
        <v>338</v>
      </c>
      <c r="C246" s="225" t="str">
        <f t="shared" si="1"/>
        <v>40 HC</v>
      </c>
      <c r="D246" s="226" t="str">
        <f>'Rail (EXW)'!A112</f>
        <v>Shantou/Chaozou</v>
      </c>
      <c r="E246" s="226" t="str">
        <f>'Rail (EXW)'!G112</f>
        <v>Manzhouli</v>
      </c>
      <c r="F246" s="226" t="str">
        <f>'Rail (EXW)'!C112</f>
        <v>St. Peterburg</v>
      </c>
      <c r="G246" s="230">
        <f>'Rail (EXW)'!D112</f>
        <v>5750</v>
      </c>
      <c r="H246" s="225" t="s">
        <v>56</v>
      </c>
      <c r="I246" s="226" t="str">
        <f>'Rail (EXW)'!H112</f>
        <v>Shushary</v>
      </c>
      <c r="K246" s="205"/>
      <c r="M246" s="205"/>
      <c r="P246" s="206" t="str">
        <f>'Rail (EXW)'!E112</f>
        <v>4.18/4.28</v>
      </c>
    </row>
    <row r="247" spans="1:16">
      <c r="A247" s="205" t="s">
        <v>337</v>
      </c>
      <c r="B247" s="205" t="s">
        <v>338</v>
      </c>
      <c r="C247" s="225" t="str">
        <f t="shared" si="1"/>
        <v>40 HC</v>
      </c>
      <c r="D247" s="226">
        <f>'Rail (EXW)'!A113</f>
        <v>0</v>
      </c>
      <c r="E247" s="226">
        <f>'Rail (EXW)'!G113</f>
        <v>0</v>
      </c>
      <c r="F247" s="226">
        <f>'Rail (EXW)'!C113</f>
        <v>0</v>
      </c>
      <c r="G247" s="230">
        <f>'Rail (EXW)'!D113</f>
        <v>0</v>
      </c>
      <c r="H247" s="225" t="s">
        <v>56</v>
      </c>
      <c r="I247" s="226">
        <f>'Rail (EXW)'!H113</f>
        <v>0</v>
      </c>
      <c r="K247" s="205"/>
      <c r="M247" s="205"/>
      <c r="P247" s="206">
        <f>'Rail (EXW)'!E113</f>
        <v>0</v>
      </c>
    </row>
    <row r="248" spans="1:16">
      <c r="A248" s="205" t="s">
        <v>337</v>
      </c>
      <c r="B248" s="205" t="s">
        <v>338</v>
      </c>
      <c r="C248" s="225" t="str">
        <f t="shared" si="1"/>
        <v>40 HC</v>
      </c>
      <c r="D248" s="226" t="str">
        <f>'Rail (EXW)'!A114</f>
        <v>Chongqing</v>
      </c>
      <c r="E248" s="226" t="str">
        <f>'Rail (EXW)'!G114</f>
        <v>Manzhouli</v>
      </c>
      <c r="F248" s="226" t="str">
        <f>'Rail (EXW)'!C114</f>
        <v>Yekaterinburg</v>
      </c>
      <c r="G248" s="230">
        <f>'Rail (EXW)'!D114</f>
        <v>3900</v>
      </c>
      <c r="H248" s="225" t="s">
        <v>56</v>
      </c>
      <c r="I248" s="226" t="str">
        <f>'Rail (EXW)'!H114</f>
        <v>Yekaterinburg</v>
      </c>
      <c r="K248" s="205"/>
      <c r="M248" s="205"/>
      <c r="P248" s="206" t="str">
        <f>'Rail (EXW)'!E114</f>
        <v>28-Apr</v>
      </c>
    </row>
    <row r="249" spans="1:16">
      <c r="A249" s="205" t="s">
        <v>337</v>
      </c>
      <c r="B249" s="205" t="s">
        <v>338</v>
      </c>
      <c r="C249" s="225" t="str">
        <f t="shared" si="1"/>
        <v>40 HC</v>
      </c>
      <c r="D249" s="226" t="str">
        <f>'Rail (EXW)'!A115</f>
        <v>Dongguan</v>
      </c>
      <c r="E249" s="226" t="str">
        <f>'Rail (EXW)'!G115</f>
        <v>Manzhouli</v>
      </c>
      <c r="F249" s="226" t="str">
        <f>'Rail (EXW)'!C115</f>
        <v>Yekaterinburg</v>
      </c>
      <c r="G249" s="230">
        <f>'Rail (EXW)'!D115</f>
        <v>4600</v>
      </c>
      <c r="H249" s="225" t="s">
        <v>56</v>
      </c>
      <c r="I249" s="226" t="str">
        <f>'Rail (EXW)'!H115</f>
        <v>Yekaterinburg</v>
      </c>
      <c r="K249" s="205"/>
      <c r="M249" s="205"/>
      <c r="P249" s="206" t="str">
        <f>'Rail (EXW)'!E115</f>
        <v>28-Apr</v>
      </c>
    </row>
    <row r="250" spans="1:16">
      <c r="A250" s="205" t="s">
        <v>337</v>
      </c>
      <c r="B250" s="205" t="s">
        <v>338</v>
      </c>
      <c r="C250" s="225" t="str">
        <f t="shared" si="1"/>
        <v>40 HC</v>
      </c>
      <c r="D250" s="226" t="str">
        <f>'Rail (EXW)'!A116</f>
        <v>Zhuhai</v>
      </c>
      <c r="E250" s="226" t="str">
        <f>'Rail (EXW)'!G116</f>
        <v>Manzhouli</v>
      </c>
      <c r="F250" s="226" t="str">
        <f>'Rail (EXW)'!C116</f>
        <v>Yekaterinburg</v>
      </c>
      <c r="G250" s="230">
        <f>'Rail (EXW)'!D116</f>
        <v>4700</v>
      </c>
      <c r="H250" s="225" t="s">
        <v>56</v>
      </c>
      <c r="I250" s="226" t="str">
        <f>'Rail (EXW)'!H116</f>
        <v>Yekaterinburg</v>
      </c>
      <c r="K250" s="205"/>
      <c r="M250" s="205"/>
      <c r="P250" s="206" t="str">
        <f>'Rail (EXW)'!E116</f>
        <v>28-Apr</v>
      </c>
    </row>
    <row r="251" spans="1:16">
      <c r="A251" s="205" t="s">
        <v>337</v>
      </c>
      <c r="B251" s="205" t="s">
        <v>338</v>
      </c>
      <c r="C251" s="225" t="str">
        <f t="shared" si="1"/>
        <v>40 HC</v>
      </c>
      <c r="D251" s="226" t="str">
        <f>'Rail (EXW)'!A117</f>
        <v>Shenzhen/Jiangmen/Zhongshan</v>
      </c>
      <c r="E251" s="226" t="str">
        <f>'Rail (EXW)'!G117</f>
        <v>Manzhouli</v>
      </c>
      <c r="F251" s="226" t="str">
        <f>'Rail (EXW)'!C117</f>
        <v>Yekaterinburg</v>
      </c>
      <c r="G251" s="230">
        <f>'Rail (EXW)'!D117</f>
        <v>4650</v>
      </c>
      <c r="H251" s="225" t="s">
        <v>56</v>
      </c>
      <c r="I251" s="226" t="str">
        <f>'Rail (EXW)'!H117</f>
        <v>Yekaterinburg</v>
      </c>
      <c r="K251" s="205"/>
      <c r="M251" s="205"/>
      <c r="P251" s="206" t="str">
        <f>'Rail (EXW)'!E117</f>
        <v>28-Apr</v>
      </c>
    </row>
    <row r="252" spans="1:16">
      <c r="A252" s="205" t="s">
        <v>337</v>
      </c>
      <c r="B252" s="205" t="s">
        <v>338</v>
      </c>
      <c r="C252" s="225" t="str">
        <f t="shared" si="1"/>
        <v>40 HC</v>
      </c>
      <c r="D252" s="226" t="str">
        <f>'Rail (EXW)'!A118</f>
        <v>Guangzhou</v>
      </c>
      <c r="E252" s="226" t="str">
        <f>'Rail (EXW)'!G118</f>
        <v>Manzhouli</v>
      </c>
      <c r="F252" s="226" t="str">
        <f>'Rail (EXW)'!C118</f>
        <v>Yekaterinburg</v>
      </c>
      <c r="G252" s="230">
        <f>'Rail (EXW)'!D118</f>
        <v>4550</v>
      </c>
      <c r="H252" s="225" t="s">
        <v>56</v>
      </c>
      <c r="I252" s="226" t="str">
        <f>'Rail (EXW)'!H118</f>
        <v>Yekaterinburg</v>
      </c>
      <c r="K252" s="205"/>
      <c r="M252" s="205"/>
      <c r="P252" s="206" t="str">
        <f>'Rail (EXW)'!E118</f>
        <v>28-Apr</v>
      </c>
    </row>
    <row r="253" spans="1:16">
      <c r="A253" s="205" t="s">
        <v>337</v>
      </c>
      <c r="B253" s="205" t="s">
        <v>338</v>
      </c>
      <c r="C253" s="225" t="str">
        <f t="shared" si="1"/>
        <v>40 HC</v>
      </c>
      <c r="D253" s="226" t="str">
        <f>'Rail (EXW)'!A119</f>
        <v>Foshan</v>
      </c>
      <c r="E253" s="226" t="str">
        <f>'Rail (EXW)'!G119</f>
        <v>Manzhouli</v>
      </c>
      <c r="F253" s="226" t="str">
        <f>'Rail (EXW)'!C119</f>
        <v>Yekaterinburg</v>
      </c>
      <c r="G253" s="230">
        <f>'Rail (EXW)'!D119</f>
        <v>4600</v>
      </c>
      <c r="H253" s="225" t="s">
        <v>56</v>
      </c>
      <c r="I253" s="226" t="str">
        <f>'Rail (EXW)'!H119</f>
        <v>Yekaterinburg</v>
      </c>
      <c r="K253" s="205"/>
      <c r="M253" s="205"/>
      <c r="P253" s="206" t="str">
        <f>'Rail (EXW)'!E119</f>
        <v>28-Apr</v>
      </c>
    </row>
    <row r="254" spans="1:16">
      <c r="A254" s="205" t="s">
        <v>337</v>
      </c>
      <c r="B254" s="205" t="s">
        <v>338</v>
      </c>
      <c r="C254" s="225" t="str">
        <f t="shared" si="1"/>
        <v>40 HC</v>
      </c>
      <c r="D254" s="226" t="str">
        <f>'Rail (EXW)'!A120</f>
        <v>Shanghai</v>
      </c>
      <c r="E254" s="226" t="str">
        <f>'Rail (EXW)'!G120</f>
        <v>Manzhouli</v>
      </c>
      <c r="F254" s="226" t="str">
        <f>'Rail (EXW)'!C120</f>
        <v>Yekaterinburg</v>
      </c>
      <c r="G254" s="230">
        <f>'Rail (EXW)'!D120</f>
        <v>4750</v>
      </c>
      <c r="H254" s="225" t="s">
        <v>56</v>
      </c>
      <c r="I254" s="226" t="str">
        <f>'Rail (EXW)'!H120</f>
        <v>Yekaterinburg</v>
      </c>
      <c r="K254" s="205"/>
      <c r="M254" s="205"/>
      <c r="P254" s="206" t="str">
        <f>'Rail (EXW)'!E120</f>
        <v>28-Apr</v>
      </c>
    </row>
    <row r="255" spans="1:16">
      <c r="A255" s="205" t="s">
        <v>337</v>
      </c>
      <c r="B255" s="205" t="s">
        <v>338</v>
      </c>
      <c r="C255" s="225" t="str">
        <f t="shared" si="1"/>
        <v>40 HC</v>
      </c>
      <c r="D255" s="226" t="str">
        <f>'Rail (EXW)'!A121</f>
        <v>Jiaxing</v>
      </c>
      <c r="E255" s="226" t="str">
        <f>'Rail (EXW)'!G121</f>
        <v>Manzhouli</v>
      </c>
      <c r="F255" s="226" t="str">
        <f>'Rail (EXW)'!C121</f>
        <v>Yekaterinburg</v>
      </c>
      <c r="G255" s="230">
        <f>'Rail (EXW)'!D121</f>
        <v>4800</v>
      </c>
      <c r="H255" s="225" t="s">
        <v>56</v>
      </c>
      <c r="I255" s="226" t="str">
        <f>'Rail (EXW)'!H121</f>
        <v>Yekaterinburg</v>
      </c>
      <c r="K255" s="205"/>
      <c r="M255" s="205"/>
      <c r="P255" s="206" t="str">
        <f>'Rail (EXW)'!E121</f>
        <v>28-Apr</v>
      </c>
    </row>
    <row r="256" spans="1:16">
      <c r="A256" s="205" t="s">
        <v>337</v>
      </c>
      <c r="B256" s="205" t="s">
        <v>338</v>
      </c>
      <c r="C256" s="225" t="str">
        <f t="shared" si="1"/>
        <v>40 HC</v>
      </c>
      <c r="D256" s="226" t="str">
        <f>'Rail (EXW)'!A122</f>
        <v>Ningbo</v>
      </c>
      <c r="E256" s="226" t="str">
        <f>'Rail (EXW)'!G122</f>
        <v>Manzhouli</v>
      </c>
      <c r="F256" s="226" t="str">
        <f>'Rail (EXW)'!C122</f>
        <v>Yekaterinburg</v>
      </c>
      <c r="G256" s="230">
        <f>'Rail (EXW)'!D122</f>
        <v>5250</v>
      </c>
      <c r="H256" s="225" t="s">
        <v>56</v>
      </c>
      <c r="I256" s="226" t="str">
        <f>'Rail (EXW)'!H122</f>
        <v>Yekaterinburg</v>
      </c>
      <c r="K256" s="205"/>
      <c r="M256" s="205"/>
      <c r="P256" s="206" t="str">
        <f>'Rail (EXW)'!E122</f>
        <v>28-Apr</v>
      </c>
    </row>
    <row r="257" spans="1:16">
      <c r="A257" s="205" t="s">
        <v>337</v>
      </c>
      <c r="B257" s="205" t="s">
        <v>338</v>
      </c>
      <c r="C257" s="225" t="str">
        <f t="shared" si="1"/>
        <v>40 HC</v>
      </c>
      <c r="D257" s="226">
        <f>'Rail (EXW)'!A123</f>
        <v>0</v>
      </c>
      <c r="E257" s="226">
        <f>'Rail (EXW)'!G123</f>
        <v>0</v>
      </c>
      <c r="F257" s="226">
        <f>'Rail (EXW)'!C123</f>
        <v>0</v>
      </c>
      <c r="G257" s="230">
        <f>'Rail (EXW)'!D123</f>
        <v>0</v>
      </c>
      <c r="H257" s="225" t="s">
        <v>56</v>
      </c>
      <c r="I257" s="226">
        <f>'Rail (EXW)'!H123</f>
        <v>0</v>
      </c>
      <c r="K257" s="205"/>
      <c r="M257" s="205"/>
      <c r="P257" s="206">
        <f>'Rail (EXW)'!E123</f>
        <v>0</v>
      </c>
    </row>
    <row r="258" spans="1:16">
      <c r="A258" s="205" t="s">
        <v>337</v>
      </c>
      <c r="B258" s="205" t="s">
        <v>338</v>
      </c>
      <c r="C258" s="225" t="str">
        <f t="shared" si="1"/>
        <v>40 HC</v>
      </c>
      <c r="D258" s="226" t="str">
        <f>'Rail (EXW)'!A124</f>
        <v>Shanghai/Suzhou/Changzhou/Zhenjiang/Nantong</v>
      </c>
      <c r="E258" s="226" t="str">
        <f>'Rail (EXW)'!G124</f>
        <v>Manzhouli</v>
      </c>
      <c r="F258" s="226" t="str">
        <f>'Rail (EXW)'!C124</f>
        <v>Yekaterinburg</v>
      </c>
      <c r="G258" s="230">
        <f>'Rail (EXW)'!D124</f>
        <v>4930</v>
      </c>
      <c r="H258" s="225" t="s">
        <v>56</v>
      </c>
      <c r="I258" s="226" t="str">
        <f>'Rail (EXW)'!H124</f>
        <v>Yekaterinburg</v>
      </c>
      <c r="K258" s="205"/>
      <c r="M258" s="205"/>
      <c r="P258" s="206" t="str">
        <f>'Rail (EXW)'!E124</f>
        <v>26-Apr</v>
      </c>
    </row>
    <row r="259" spans="1:16">
      <c r="A259" s="205" t="s">
        <v>337</v>
      </c>
      <c r="B259" s="205" t="s">
        <v>338</v>
      </c>
      <c r="C259" s="225" t="str">
        <f t="shared" si="1"/>
        <v>40 HC</v>
      </c>
      <c r="D259" s="226" t="str">
        <f>'Rail (EXW)'!A125</f>
        <v>Tianjin</v>
      </c>
      <c r="E259" s="226" t="str">
        <f>'Rail (EXW)'!G125</f>
        <v>Manzhouli</v>
      </c>
      <c r="F259" s="226" t="str">
        <f>'Rail (EXW)'!C125</f>
        <v>Yekaterinburg</v>
      </c>
      <c r="G259" s="230">
        <f>'Rail (EXW)'!D125</f>
        <v>4900</v>
      </c>
      <c r="H259" s="225" t="s">
        <v>56</v>
      </c>
      <c r="I259" s="226" t="str">
        <f>'Rail (EXW)'!H125</f>
        <v>Yekaterinburg</v>
      </c>
      <c r="K259" s="205"/>
      <c r="M259" s="205"/>
      <c r="P259" s="206" t="str">
        <f>'Rail (EXW)'!E125</f>
        <v>26-Apr</v>
      </c>
    </row>
    <row r="260" spans="1:16">
      <c r="A260" s="205" t="s">
        <v>337</v>
      </c>
      <c r="B260" s="205" t="s">
        <v>338</v>
      </c>
      <c r="C260" s="225" t="str">
        <f t="shared" si="1"/>
        <v>40 HC</v>
      </c>
      <c r="D260" s="226" t="str">
        <f>'Rail (EXW)'!A126</f>
        <v>Qingdao</v>
      </c>
      <c r="E260" s="226" t="str">
        <f>'Rail (EXW)'!G126</f>
        <v>Manzhouli</v>
      </c>
      <c r="F260" s="226" t="str">
        <f>'Rail (EXW)'!C126</f>
        <v>Yekaterinburg</v>
      </c>
      <c r="G260" s="230">
        <f>'Rail (EXW)'!D126</f>
        <v>4800</v>
      </c>
      <c r="H260" s="225" t="s">
        <v>56</v>
      </c>
      <c r="I260" s="226" t="str">
        <f>'Rail (EXW)'!H126</f>
        <v>Yekaterinburg</v>
      </c>
      <c r="K260" s="205"/>
      <c r="M260" s="205"/>
      <c r="P260" s="206" t="str">
        <f>'Rail (EXW)'!E126</f>
        <v>26-Apr</v>
      </c>
    </row>
    <row r="261" spans="1:16">
      <c r="A261" s="205" t="s">
        <v>337</v>
      </c>
      <c r="B261" s="205" t="s">
        <v>338</v>
      </c>
      <c r="C261" s="225" t="str">
        <f t="shared" si="1"/>
        <v>40 HC</v>
      </c>
      <c r="D261" s="226">
        <f>'Rail (EXW)'!A127</f>
        <v>0</v>
      </c>
      <c r="E261" s="226">
        <f>'Rail (EXW)'!G127</f>
        <v>0</v>
      </c>
      <c r="F261" s="226">
        <f>'Rail (EXW)'!C127</f>
        <v>0</v>
      </c>
      <c r="G261" s="230">
        <f>'Rail (EXW)'!D127</f>
        <v>0</v>
      </c>
      <c r="H261" s="225" t="s">
        <v>56</v>
      </c>
      <c r="I261" s="226">
        <f>'Rail (EXW)'!H127</f>
        <v>0</v>
      </c>
      <c r="K261" s="205"/>
      <c r="M261" s="205"/>
      <c r="P261" s="206">
        <f>'Rail (EXW)'!E127</f>
        <v>0</v>
      </c>
    </row>
    <row r="262" spans="1:16">
      <c r="A262" s="205" t="s">
        <v>337</v>
      </c>
      <c r="B262" s="205" t="s">
        <v>338</v>
      </c>
      <c r="C262" s="225" t="str">
        <f t="shared" si="1"/>
        <v>40 HC</v>
      </c>
      <c r="D262" s="226" t="str">
        <f>'Rail (EXW)'!A128</f>
        <v>Guangzhou</v>
      </c>
      <c r="E262" s="226" t="str">
        <f>'Rail (EXW)'!G128</f>
        <v>Manzhouli</v>
      </c>
      <c r="F262" s="226" t="str">
        <f>'Rail (EXW)'!C128</f>
        <v>Yekaterinburg</v>
      </c>
      <c r="G262" s="230">
        <f>'Rail (EXW)'!D128</f>
        <v>5250</v>
      </c>
      <c r="H262" s="225" t="s">
        <v>56</v>
      </c>
      <c r="I262" s="226" t="str">
        <f>'Rail (EXW)'!H128</f>
        <v>Yekaterinburg</v>
      </c>
      <c r="K262" s="205"/>
      <c r="M262" s="205"/>
      <c r="P262" s="206" t="str">
        <f>'Rail (EXW)'!E128</f>
        <v>4.08/4.12/4.18</v>
      </c>
    </row>
    <row r="263" spans="1:16">
      <c r="A263" s="205" t="s">
        <v>337</v>
      </c>
      <c r="B263" s="205" t="s">
        <v>338</v>
      </c>
      <c r="C263" s="225" t="str">
        <f t="shared" si="1"/>
        <v>40 HC</v>
      </c>
      <c r="D263" s="226" t="str">
        <f>'Rail (EXW)'!A129</f>
        <v>Shenzhen/Dongguan/Zhongshan/Foshan</v>
      </c>
      <c r="E263" s="226" t="str">
        <f>'Rail (EXW)'!G129</f>
        <v>Manzhouli</v>
      </c>
      <c r="F263" s="226" t="str">
        <f>'Rail (EXW)'!C129</f>
        <v>Yekaterinburg</v>
      </c>
      <c r="G263" s="230">
        <f>'Rail (EXW)'!D129</f>
        <v>5350</v>
      </c>
      <c r="H263" s="225" t="s">
        <v>56</v>
      </c>
      <c r="I263" s="226" t="str">
        <f>'Rail (EXW)'!H129</f>
        <v>Yekaterinburg</v>
      </c>
      <c r="K263" s="205"/>
      <c r="M263" s="205"/>
      <c r="P263" s="206" t="str">
        <f>'Rail (EXW)'!E129</f>
        <v>4.08/4.12/4.18</v>
      </c>
    </row>
    <row r="264" spans="1:16">
      <c r="A264" s="205" t="s">
        <v>337</v>
      </c>
      <c r="B264" s="205" t="s">
        <v>338</v>
      </c>
      <c r="C264" s="225" t="str">
        <f t="shared" si="1"/>
        <v>40 HC</v>
      </c>
      <c r="D264" s="226" t="str">
        <f>'Rail (EXW)'!A130</f>
        <v>Qingyuan/Zhaoqing</v>
      </c>
      <c r="E264" s="226" t="str">
        <f>'Rail (EXW)'!G130</f>
        <v>Manzhouli</v>
      </c>
      <c r="F264" s="226" t="str">
        <f>'Rail (EXW)'!C130</f>
        <v>Yekaterinburg</v>
      </c>
      <c r="G264" s="230">
        <f>'Rail (EXW)'!D130</f>
        <v>5400</v>
      </c>
      <c r="H264" s="225" t="s">
        <v>56</v>
      </c>
      <c r="I264" s="226" t="str">
        <f>'Rail (EXW)'!H130</f>
        <v>Yekaterinburg</v>
      </c>
      <c r="K264" s="205"/>
      <c r="M264" s="205"/>
      <c r="P264" s="206" t="str">
        <f>'Rail (EXW)'!E130</f>
        <v>4.08/4.12/4.18</v>
      </c>
    </row>
    <row r="265" spans="1:16">
      <c r="A265" s="205" t="s">
        <v>337</v>
      </c>
      <c r="B265" s="205" t="s">
        <v>338</v>
      </c>
      <c r="C265" s="225" t="str">
        <f t="shared" si="1"/>
        <v>40 HC</v>
      </c>
      <c r="D265" s="226" t="str">
        <f>'Rail (EXW)'!A131</f>
        <v>Shantou/Chaozhou/Jieyang</v>
      </c>
      <c r="E265" s="226" t="str">
        <f>'Rail (EXW)'!G131</f>
        <v>Manzhouli</v>
      </c>
      <c r="F265" s="226" t="str">
        <f>'Rail (EXW)'!C131</f>
        <v>Yekaterinburg</v>
      </c>
      <c r="G265" s="230">
        <f>'Rail (EXW)'!D131</f>
        <v>5700</v>
      </c>
      <c r="H265" s="225" t="s">
        <v>56</v>
      </c>
      <c r="I265" s="226" t="str">
        <f>'Rail (EXW)'!H131</f>
        <v>Yekaterinburg</v>
      </c>
      <c r="K265" s="205"/>
      <c r="M265" s="205"/>
      <c r="P265" s="206" t="str">
        <f>'Rail (EXW)'!E131</f>
        <v>4.08/4.12/4.18</v>
      </c>
    </row>
    <row r="266" spans="1:16">
      <c r="A266" s="205" t="s">
        <v>337</v>
      </c>
      <c r="B266" s="205" t="s">
        <v>338</v>
      </c>
      <c r="C266" s="225" t="str">
        <f t="shared" ref="C266:C301" si="2">$C$136</f>
        <v>40 HC</v>
      </c>
      <c r="D266" s="226">
        <f>'Rail (EXW)'!A132</f>
        <v>0</v>
      </c>
      <c r="E266" s="226">
        <f>'Rail (EXW)'!G132</f>
        <v>0</v>
      </c>
      <c r="F266" s="226">
        <f>'Rail (EXW)'!C132</f>
        <v>0</v>
      </c>
      <c r="G266" s="230">
        <f>'Rail (EXW)'!D132</f>
        <v>0</v>
      </c>
      <c r="H266" s="225" t="s">
        <v>56</v>
      </c>
      <c r="I266" s="226">
        <f>'Rail (EXW)'!H132</f>
        <v>0</v>
      </c>
      <c r="K266" s="205"/>
      <c r="M266" s="205"/>
      <c r="P266" s="206">
        <f>'Rail (EXW)'!E132</f>
        <v>0</v>
      </c>
    </row>
    <row r="267" spans="1:16">
      <c r="A267" s="205" t="s">
        <v>337</v>
      </c>
      <c r="B267" s="205" t="s">
        <v>338</v>
      </c>
      <c r="C267" s="225" t="str">
        <f t="shared" si="2"/>
        <v>40 HC</v>
      </c>
      <c r="D267" s="226" t="str">
        <f>'Rail (EXW)'!A133</f>
        <v>Guangzhou</v>
      </c>
      <c r="E267" s="226" t="str">
        <f>'Rail (EXW)'!G133</f>
        <v>Manzhouli</v>
      </c>
      <c r="F267" s="226" t="str">
        <f>'Rail (EXW)'!C133</f>
        <v>Novosibirsk</v>
      </c>
      <c r="G267" s="230">
        <f>'Rail (EXW)'!D133</f>
        <v>4750</v>
      </c>
      <c r="H267" s="225" t="s">
        <v>56</v>
      </c>
      <c r="I267" s="226" t="str">
        <f>'Rail (EXW)'!H133</f>
        <v>Novosibirsk</v>
      </c>
      <c r="K267" s="205"/>
      <c r="M267" s="205"/>
      <c r="P267" s="206" t="str">
        <f>'Rail (EXW)'!E133</f>
        <v>4.08/4.12/4.18</v>
      </c>
    </row>
    <row r="268" spans="1:16">
      <c r="A268" s="205" t="s">
        <v>337</v>
      </c>
      <c r="B268" s="205" t="s">
        <v>338</v>
      </c>
      <c r="C268" s="225" t="str">
        <f t="shared" si="2"/>
        <v>40 HC</v>
      </c>
      <c r="D268" s="226" t="str">
        <f>'Rail (EXW)'!A134</f>
        <v>Shenzhen/Dongguan/Zhongshan/Foshan</v>
      </c>
      <c r="E268" s="226" t="str">
        <f>'Rail (EXW)'!G134</f>
        <v>Manzhouli</v>
      </c>
      <c r="F268" s="226" t="str">
        <f>'Rail (EXW)'!C134</f>
        <v>Novosibirsk</v>
      </c>
      <c r="G268" s="230">
        <f>'Rail (EXW)'!D134</f>
        <v>4850</v>
      </c>
      <c r="H268" s="225" t="s">
        <v>56</v>
      </c>
      <c r="I268" s="226" t="str">
        <f>'Rail (EXW)'!H134</f>
        <v>Novosibirsk</v>
      </c>
      <c r="K268" s="205"/>
      <c r="M268" s="205"/>
      <c r="P268" s="206" t="str">
        <f>'Rail (EXW)'!E134</f>
        <v>4.08/4.12/4.18</v>
      </c>
    </row>
    <row r="269" spans="1:16">
      <c r="A269" s="205" t="s">
        <v>337</v>
      </c>
      <c r="B269" s="205" t="s">
        <v>338</v>
      </c>
      <c r="C269" s="225" t="str">
        <f t="shared" si="2"/>
        <v>40 HC</v>
      </c>
      <c r="D269" s="226" t="str">
        <f>'Rail (EXW)'!A135</f>
        <v>Qingyuan/Zhaoqing</v>
      </c>
      <c r="E269" s="226" t="str">
        <f>'Rail (EXW)'!G135</f>
        <v>Manzhouli</v>
      </c>
      <c r="F269" s="226" t="str">
        <f>'Rail (EXW)'!C135</f>
        <v>Novosibirsk</v>
      </c>
      <c r="G269" s="230">
        <f>'Rail (EXW)'!D135</f>
        <v>4900</v>
      </c>
      <c r="H269" s="225" t="s">
        <v>56</v>
      </c>
      <c r="I269" s="226" t="str">
        <f>'Rail (EXW)'!H135</f>
        <v>Novosibirsk</v>
      </c>
      <c r="K269" s="205"/>
      <c r="M269" s="205"/>
      <c r="P269" s="206" t="str">
        <f>'Rail (EXW)'!E135</f>
        <v>4.08/4.12/4.18</v>
      </c>
    </row>
    <row r="270" spans="1:16">
      <c r="A270" s="205" t="s">
        <v>337</v>
      </c>
      <c r="B270" s="205" t="s">
        <v>338</v>
      </c>
      <c r="C270" s="225" t="str">
        <f t="shared" si="2"/>
        <v>40 HC</v>
      </c>
      <c r="D270" s="226" t="str">
        <f>'Rail (EXW)'!A136</f>
        <v>Shantou/Chaozhou/Jieyang</v>
      </c>
      <c r="E270" s="226" t="str">
        <f>'Rail (EXW)'!G136</f>
        <v>Manzhouli</v>
      </c>
      <c r="F270" s="226" t="str">
        <f>'Rail (EXW)'!C136</f>
        <v>Novosibirsk</v>
      </c>
      <c r="G270" s="230">
        <f>'Rail (EXW)'!D136</f>
        <v>5200</v>
      </c>
      <c r="H270" s="225" t="s">
        <v>56</v>
      </c>
      <c r="I270" s="226" t="str">
        <f>'Rail (EXW)'!H136</f>
        <v>Novosibirsk</v>
      </c>
      <c r="K270" s="205"/>
      <c r="M270" s="205"/>
      <c r="P270" s="206" t="str">
        <f>'Rail (EXW)'!E136</f>
        <v>4.08/4.12/4.18</v>
      </c>
    </row>
    <row r="271" spans="1:16">
      <c r="A271" s="205" t="s">
        <v>337</v>
      </c>
      <c r="B271" s="205" t="s">
        <v>338</v>
      </c>
      <c r="C271" s="225" t="str">
        <f t="shared" si="2"/>
        <v>40 HC</v>
      </c>
      <c r="D271" s="226">
        <f>'Rail (EXW)'!A137</f>
        <v>0</v>
      </c>
      <c r="E271" s="226">
        <f>'Rail (EXW)'!G137</f>
        <v>0</v>
      </c>
      <c r="F271" s="226">
        <f>'Rail (EXW)'!C137</f>
        <v>0</v>
      </c>
      <c r="G271" s="230">
        <f>'Rail (EXW)'!D137</f>
        <v>0</v>
      </c>
      <c r="H271" s="225" t="s">
        <v>56</v>
      </c>
      <c r="I271" s="226">
        <f>'Rail (EXW)'!H137</f>
        <v>0</v>
      </c>
      <c r="K271" s="205"/>
      <c r="M271" s="205"/>
      <c r="P271" s="206">
        <f>'Rail (EXW)'!E137</f>
        <v>0</v>
      </c>
    </row>
    <row r="272" spans="1:16">
      <c r="A272" s="205" t="s">
        <v>337</v>
      </c>
      <c r="B272" s="205" t="s">
        <v>338</v>
      </c>
      <c r="C272" s="225" t="str">
        <f t="shared" si="2"/>
        <v>40 HC</v>
      </c>
      <c r="D272" s="226" t="str">
        <f>'Rail (EXW)'!A138</f>
        <v>Shanghai/Suzhou/Changzhou/Zhenjiang/Nantong</v>
      </c>
      <c r="E272" s="226" t="str">
        <f>'Rail (EXW)'!G138</f>
        <v>Manzhouli</v>
      </c>
      <c r="F272" s="226" t="str">
        <f>'Rail (EXW)'!C138</f>
        <v>Novosibirsk</v>
      </c>
      <c r="G272" s="230">
        <f>'Rail (EXW)'!D138</f>
        <v>4480</v>
      </c>
      <c r="H272" s="225" t="s">
        <v>56</v>
      </c>
      <c r="I272" s="226" t="str">
        <f>'Rail (EXW)'!H138</f>
        <v>Novosibirsk</v>
      </c>
      <c r="K272" s="205"/>
      <c r="M272" s="205"/>
      <c r="P272" s="206">
        <f>'Rail (EXW)'!E138</f>
        <v>45773</v>
      </c>
    </row>
    <row r="273" spans="1:16">
      <c r="A273" s="205" t="s">
        <v>337</v>
      </c>
      <c r="B273" s="205" t="s">
        <v>338</v>
      </c>
      <c r="C273" s="225" t="str">
        <f t="shared" si="2"/>
        <v>40 HC</v>
      </c>
      <c r="D273" s="226" t="str">
        <f>'Rail (EXW)'!A139</f>
        <v>Tianjin</v>
      </c>
      <c r="E273" s="226" t="str">
        <f>'Rail (EXW)'!G139</f>
        <v>Manzhouli</v>
      </c>
      <c r="F273" s="226" t="str">
        <f>'Rail (EXW)'!C139</f>
        <v>Novosibirsk</v>
      </c>
      <c r="G273" s="230">
        <f>'Rail (EXW)'!D139</f>
        <v>4650</v>
      </c>
      <c r="H273" s="225" t="s">
        <v>56</v>
      </c>
      <c r="I273" s="226" t="str">
        <f>'Rail (EXW)'!H139</f>
        <v>Novosibirsk</v>
      </c>
      <c r="K273" s="205"/>
      <c r="M273" s="205"/>
      <c r="P273" s="206">
        <f>'Rail (EXW)'!E139</f>
        <v>45773</v>
      </c>
    </row>
    <row r="274" spans="1:16">
      <c r="A274" s="205" t="s">
        <v>337</v>
      </c>
      <c r="B274" s="205" t="s">
        <v>338</v>
      </c>
      <c r="C274" s="225" t="str">
        <f t="shared" si="2"/>
        <v>40 HC</v>
      </c>
      <c r="D274" s="226" t="str">
        <f>'Rail (EXW)'!A140</f>
        <v>Qingdao</v>
      </c>
      <c r="E274" s="226" t="str">
        <f>'Rail (EXW)'!G140</f>
        <v>Manzhouli</v>
      </c>
      <c r="F274" s="226" t="str">
        <f>'Rail (EXW)'!C140</f>
        <v>Novosibirsk</v>
      </c>
      <c r="G274" s="230">
        <f>'Rail (EXW)'!D140</f>
        <v>4350</v>
      </c>
      <c r="H274" s="225" t="s">
        <v>56</v>
      </c>
      <c r="I274" s="226" t="str">
        <f>'Rail (EXW)'!H140</f>
        <v>Novosibirsk</v>
      </c>
      <c r="K274" s="205"/>
      <c r="M274" s="205"/>
      <c r="P274" s="206">
        <f>'Rail (EXW)'!E140</f>
        <v>45773</v>
      </c>
    </row>
    <row r="275" spans="1:16">
      <c r="A275" s="205" t="s">
        <v>337</v>
      </c>
      <c r="B275" s="205" t="s">
        <v>338</v>
      </c>
      <c r="C275" s="225" t="str">
        <f t="shared" si="2"/>
        <v>40 HC</v>
      </c>
      <c r="D275" s="226">
        <f>'Rail (EXW)'!A141</f>
        <v>0</v>
      </c>
      <c r="E275" s="226">
        <f>'Rail (EXW)'!G141</f>
        <v>0</v>
      </c>
      <c r="F275" s="226">
        <f>'Rail (EXW)'!C141</f>
        <v>0</v>
      </c>
      <c r="G275" s="230">
        <f>'Rail (EXW)'!D141</f>
        <v>0</v>
      </c>
      <c r="H275" s="225" t="s">
        <v>56</v>
      </c>
      <c r="I275" s="226">
        <f>'Rail (EXW)'!H141</f>
        <v>0</v>
      </c>
      <c r="K275" s="205"/>
      <c r="M275" s="205"/>
      <c r="P275" s="206">
        <f>'Rail (EXW)'!E141</f>
        <v>0</v>
      </c>
    </row>
    <row r="276" spans="1:16">
      <c r="A276" s="205" t="s">
        <v>337</v>
      </c>
      <c r="B276" s="205" t="s">
        <v>338</v>
      </c>
      <c r="C276" s="225" t="str">
        <f t="shared" si="2"/>
        <v>40 HC</v>
      </c>
      <c r="D276" s="226" t="str">
        <f>'Rail (EXW)'!A142</f>
        <v>Chongqing</v>
      </c>
      <c r="E276" s="226" t="str">
        <f>'Rail (EXW)'!G142</f>
        <v>Manzhouli</v>
      </c>
      <c r="F276" s="226" t="str">
        <f>'Rail (EXW)'!C142</f>
        <v>Novosibirsk</v>
      </c>
      <c r="G276" s="230">
        <f>'Rail (EXW)'!D142</f>
        <v>3650</v>
      </c>
      <c r="H276" s="225" t="s">
        <v>56</v>
      </c>
      <c r="I276" s="226" t="str">
        <f>'Rail (EXW)'!H142</f>
        <v>Novosibirsk</v>
      </c>
      <c r="K276" s="205"/>
      <c r="M276" s="205"/>
      <c r="P276" s="206">
        <f>'Rail (EXW)'!E142</f>
        <v>45775</v>
      </c>
    </row>
    <row r="277" spans="1:16">
      <c r="A277" s="205" t="s">
        <v>337</v>
      </c>
      <c r="B277" s="205" t="s">
        <v>338</v>
      </c>
      <c r="C277" s="225" t="str">
        <f t="shared" si="2"/>
        <v>40 HC</v>
      </c>
      <c r="D277" s="226" t="str">
        <f>'Rail (EXW)'!A143</f>
        <v>Dongguan</v>
      </c>
      <c r="E277" s="226" t="str">
        <f>'Rail (EXW)'!G143</f>
        <v>Manzhouli</v>
      </c>
      <c r="F277" s="226" t="str">
        <f>'Rail (EXW)'!C143</f>
        <v>Novosibirsk</v>
      </c>
      <c r="G277" s="230">
        <f>'Rail (EXW)'!D143</f>
        <v>4350</v>
      </c>
      <c r="H277" s="225" t="s">
        <v>56</v>
      </c>
      <c r="I277" s="226" t="str">
        <f>'Rail (EXW)'!H143</f>
        <v>Novosibirsk</v>
      </c>
      <c r="K277" s="205"/>
      <c r="M277" s="205"/>
      <c r="P277" s="206">
        <f>'Rail (EXW)'!E143</f>
        <v>45775</v>
      </c>
    </row>
    <row r="278" spans="1:16">
      <c r="A278" s="205" t="s">
        <v>337</v>
      </c>
      <c r="B278" s="205" t="s">
        <v>338</v>
      </c>
      <c r="C278" s="225" t="str">
        <f t="shared" si="2"/>
        <v>40 HC</v>
      </c>
      <c r="D278" s="226" t="str">
        <f>'Rail (EXW)'!A144</f>
        <v>Zhuhai</v>
      </c>
      <c r="E278" s="226" t="str">
        <f>'Rail (EXW)'!G144</f>
        <v>Manzhouli</v>
      </c>
      <c r="F278" s="226" t="str">
        <f>'Rail (EXW)'!C144</f>
        <v>Novosibirsk</v>
      </c>
      <c r="G278" s="230">
        <f>'Rail (EXW)'!D144</f>
        <v>4450</v>
      </c>
      <c r="H278" s="225" t="s">
        <v>56</v>
      </c>
      <c r="I278" s="226" t="str">
        <f>'Rail (EXW)'!H144</f>
        <v>Novosibirsk</v>
      </c>
      <c r="K278" s="205"/>
      <c r="M278" s="205"/>
      <c r="P278" s="206">
        <f>'Rail (EXW)'!E144</f>
        <v>45775</v>
      </c>
    </row>
    <row r="279" spans="1:16">
      <c r="A279" s="205" t="s">
        <v>337</v>
      </c>
      <c r="B279" s="205" t="s">
        <v>338</v>
      </c>
      <c r="C279" s="225" t="str">
        <f t="shared" si="2"/>
        <v>40 HC</v>
      </c>
      <c r="D279" s="226" t="str">
        <f>'Rail (EXW)'!A145</f>
        <v>Shenzhen/Jiangmen/Zhongshan</v>
      </c>
      <c r="E279" s="226" t="str">
        <f>'Rail (EXW)'!G145</f>
        <v>Manzhouli</v>
      </c>
      <c r="F279" s="226" t="str">
        <f>'Rail (EXW)'!C145</f>
        <v>Novosibirsk</v>
      </c>
      <c r="G279" s="230">
        <f>'Rail (EXW)'!D145</f>
        <v>4350</v>
      </c>
      <c r="H279" s="225" t="s">
        <v>56</v>
      </c>
      <c r="I279" s="226" t="str">
        <f>'Rail (EXW)'!H145</f>
        <v>Novosibirsk</v>
      </c>
      <c r="K279" s="205"/>
      <c r="M279" s="205"/>
      <c r="P279" s="206">
        <f>'Rail (EXW)'!E145</f>
        <v>45775</v>
      </c>
    </row>
    <row r="280" spans="1:16">
      <c r="A280" s="205" t="s">
        <v>337</v>
      </c>
      <c r="B280" s="205" t="s">
        <v>338</v>
      </c>
      <c r="C280" s="225" t="str">
        <f t="shared" si="2"/>
        <v>40 HC</v>
      </c>
      <c r="D280" s="226" t="str">
        <f>'Rail (EXW)'!A146</f>
        <v>Guangzhou</v>
      </c>
      <c r="E280" s="226" t="str">
        <f>'Rail (EXW)'!G146</f>
        <v>Manzhouli</v>
      </c>
      <c r="F280" s="226" t="str">
        <f>'Rail (EXW)'!C146</f>
        <v>Novosibirsk</v>
      </c>
      <c r="G280" s="230">
        <f>'Rail (EXW)'!D146</f>
        <v>4300</v>
      </c>
      <c r="H280" s="225" t="s">
        <v>56</v>
      </c>
      <c r="I280" s="226" t="str">
        <f>'Rail (EXW)'!H146</f>
        <v>Novosibirsk</v>
      </c>
      <c r="K280" s="205"/>
      <c r="M280" s="205"/>
      <c r="P280" s="206">
        <f>'Rail (EXW)'!E146</f>
        <v>45775</v>
      </c>
    </row>
    <row r="281" spans="1:16">
      <c r="A281" s="205" t="s">
        <v>337</v>
      </c>
      <c r="B281" s="205" t="s">
        <v>338</v>
      </c>
      <c r="C281" s="225" t="str">
        <f t="shared" si="2"/>
        <v>40 HC</v>
      </c>
      <c r="D281" s="226" t="str">
        <f>'Rail (EXW)'!A147</f>
        <v>Foshan</v>
      </c>
      <c r="E281" s="226" t="str">
        <f>'Rail (EXW)'!G147</f>
        <v>Manzhouli</v>
      </c>
      <c r="F281" s="226" t="str">
        <f>'Rail (EXW)'!C147</f>
        <v>Novosibirsk</v>
      </c>
      <c r="G281" s="230">
        <f>'Rail (EXW)'!D147</f>
        <v>4350</v>
      </c>
      <c r="H281" s="225" t="s">
        <v>56</v>
      </c>
      <c r="I281" s="226" t="str">
        <f>'Rail (EXW)'!H147</f>
        <v>Novosibirsk</v>
      </c>
      <c r="K281" s="205"/>
      <c r="M281" s="205"/>
      <c r="P281" s="206">
        <f>'Rail (EXW)'!E147</f>
        <v>45775</v>
      </c>
    </row>
    <row r="282" spans="1:16">
      <c r="A282" s="205" t="s">
        <v>337</v>
      </c>
      <c r="B282" s="205" t="s">
        <v>338</v>
      </c>
      <c r="C282" s="225" t="str">
        <f t="shared" si="2"/>
        <v>40 HC</v>
      </c>
      <c r="D282" s="226" t="str">
        <f>'Rail (EXW)'!A148</f>
        <v>Shanghai</v>
      </c>
      <c r="E282" s="226" t="str">
        <f>'Rail (EXW)'!G148</f>
        <v>Manzhouli</v>
      </c>
      <c r="F282" s="226" t="str">
        <f>'Rail (EXW)'!C148</f>
        <v>Novosibirsk</v>
      </c>
      <c r="G282" s="230">
        <f>'Rail (EXW)'!D148</f>
        <v>4500</v>
      </c>
      <c r="H282" s="225" t="s">
        <v>56</v>
      </c>
      <c r="I282" s="226" t="str">
        <f>'Rail (EXW)'!H148</f>
        <v>Novosibirsk</v>
      </c>
      <c r="K282" s="205"/>
      <c r="M282" s="205"/>
      <c r="P282" s="206">
        <f>'Rail (EXW)'!E148</f>
        <v>45775</v>
      </c>
    </row>
    <row r="283" spans="1:16">
      <c r="A283" s="205" t="s">
        <v>337</v>
      </c>
      <c r="B283" s="205" t="s">
        <v>338</v>
      </c>
      <c r="C283" s="225" t="str">
        <f t="shared" si="2"/>
        <v>40 HC</v>
      </c>
      <c r="D283" s="226" t="str">
        <f>'Rail (EXW)'!A149</f>
        <v>Jiaxing</v>
      </c>
      <c r="E283" s="226" t="str">
        <f>'Rail (EXW)'!G149</f>
        <v>Manzhouli</v>
      </c>
      <c r="F283" s="226" t="str">
        <f>'Rail (EXW)'!C149</f>
        <v>Novosibirsk</v>
      </c>
      <c r="G283" s="230">
        <f>'Rail (EXW)'!D149</f>
        <v>4550</v>
      </c>
      <c r="H283" s="225" t="s">
        <v>56</v>
      </c>
      <c r="I283" s="226" t="str">
        <f>'Rail (EXW)'!H149</f>
        <v>Novosibirsk</v>
      </c>
      <c r="K283" s="205"/>
      <c r="M283" s="205"/>
      <c r="P283" s="206">
        <f>'Rail (EXW)'!E149</f>
        <v>45775</v>
      </c>
    </row>
    <row r="284" spans="1:16">
      <c r="A284" s="205" t="s">
        <v>337</v>
      </c>
      <c r="B284" s="205" t="s">
        <v>338</v>
      </c>
      <c r="C284" s="225" t="str">
        <f t="shared" si="2"/>
        <v>40 HC</v>
      </c>
      <c r="D284" s="226" t="str">
        <f>'Rail (EXW)'!A150</f>
        <v>Ningbo</v>
      </c>
      <c r="E284" s="226" t="str">
        <f>'Rail (EXW)'!G150</f>
        <v>Manzhouli</v>
      </c>
      <c r="F284" s="226" t="str">
        <f>'Rail (EXW)'!C150</f>
        <v>Novosibirsk</v>
      </c>
      <c r="G284" s="230">
        <f>'Rail (EXW)'!D150</f>
        <v>5000</v>
      </c>
      <c r="H284" s="225" t="s">
        <v>56</v>
      </c>
      <c r="I284" s="226" t="str">
        <f>'Rail (EXW)'!H150</f>
        <v>Novosibirsk</v>
      </c>
      <c r="K284" s="205"/>
      <c r="M284" s="205"/>
      <c r="P284" s="206">
        <f>'Rail (EXW)'!E150</f>
        <v>45775</v>
      </c>
    </row>
    <row r="285" spans="1:16">
      <c r="A285" s="205" t="s">
        <v>337</v>
      </c>
      <c r="B285" s="205" t="s">
        <v>338</v>
      </c>
      <c r="C285" s="225" t="str">
        <f t="shared" si="2"/>
        <v>40 HC</v>
      </c>
      <c r="D285" s="226">
        <f>'Rail (EXW)'!A151</f>
        <v>0</v>
      </c>
      <c r="E285" s="226">
        <f>'Rail (EXW)'!G151</f>
        <v>0</v>
      </c>
      <c r="F285" s="226">
        <f>'Rail (EXW)'!C151</f>
        <v>0</v>
      </c>
      <c r="G285" s="230">
        <f>'Rail (EXW)'!D151</f>
        <v>0</v>
      </c>
      <c r="H285" s="225" t="s">
        <v>56</v>
      </c>
      <c r="I285" s="226" t="str">
        <f>'Rail (EXW)'!H151</f>
        <v>Kolyadichi</v>
      </c>
      <c r="K285" s="205"/>
      <c r="M285" s="205"/>
      <c r="P285" s="206">
        <f>'Rail (EXW)'!E151</f>
        <v>0</v>
      </c>
    </row>
    <row r="286" spans="1:16">
      <c r="A286" s="205" t="s">
        <v>337</v>
      </c>
      <c r="B286" s="205" t="s">
        <v>338</v>
      </c>
      <c r="C286" s="225" t="str">
        <f t="shared" si="2"/>
        <v>40 HC</v>
      </c>
      <c r="D286" s="226" t="str">
        <f>'Rail (EXW)'!A152</f>
        <v>Shanghai/Suzhou/Jiaxing</v>
      </c>
      <c r="E286" s="226" t="str">
        <f>'Rail (EXW)'!G152</f>
        <v>Alashankou/Khorgos</v>
      </c>
      <c r="F286" s="226" t="str">
        <f>'Rail (EXW)'!C152</f>
        <v>Minsk</v>
      </c>
      <c r="G286" s="230">
        <f>'Rail (EXW)'!D152</f>
        <v>5500</v>
      </c>
      <c r="H286" s="225" t="s">
        <v>56</v>
      </c>
      <c r="I286" s="226" t="str">
        <f>'Rail (EXW)'!H152</f>
        <v>Kolyadichi</v>
      </c>
      <c r="K286" s="205"/>
      <c r="M286" s="205"/>
      <c r="P286" s="206" t="str">
        <f>'Rail (EXW)'!E152</f>
        <v>4.22/4.24/
4.27/4.29/4.30</v>
      </c>
    </row>
    <row r="287" spans="1:16">
      <c r="A287" s="205" t="s">
        <v>337</v>
      </c>
      <c r="B287" s="205" t="s">
        <v>338</v>
      </c>
      <c r="C287" s="225" t="str">
        <f t="shared" si="2"/>
        <v>40 HC</v>
      </c>
      <c r="D287" s="226" t="str">
        <f>'Rail (EXW)'!A153</f>
        <v>Ningbo/Shaoxing/Yuyao</v>
      </c>
      <c r="E287" s="226" t="str">
        <f>'Rail (EXW)'!G153</f>
        <v>Alashankou/Khorgos</v>
      </c>
      <c r="F287" s="226" t="str">
        <f>'Rail (EXW)'!C153</f>
        <v>Minsk</v>
      </c>
      <c r="G287" s="230">
        <f>'Rail (EXW)'!D153</f>
        <v>5650</v>
      </c>
      <c r="H287" s="225" t="s">
        <v>56</v>
      </c>
      <c r="I287" s="226" t="str">
        <f>'Rail (EXW)'!H153</f>
        <v>Kolyadichi</v>
      </c>
      <c r="K287" s="205"/>
      <c r="M287" s="205"/>
      <c r="P287" s="206" t="str">
        <f>'Rail (EXW)'!E153</f>
        <v>4.22/4.24/
4.27/4.29/4.30</v>
      </c>
    </row>
    <row r="288" spans="1:16">
      <c r="A288" s="205" t="s">
        <v>337</v>
      </c>
      <c r="B288" s="205" t="s">
        <v>338</v>
      </c>
      <c r="C288" s="225" t="str">
        <f t="shared" si="2"/>
        <v>40 HC</v>
      </c>
      <c r="D288" s="226" t="str">
        <f>'Rail (EXW)'!A154</f>
        <v>Qingdao/Linyi/Weifang</v>
      </c>
      <c r="E288" s="226" t="str">
        <f>'Rail (EXW)'!G154</f>
        <v>Alashankou/Khorgos</v>
      </c>
      <c r="F288" s="226" t="str">
        <f>'Rail (EXW)'!C154</f>
        <v>Minsk</v>
      </c>
      <c r="G288" s="230">
        <f>'Rail (EXW)'!D154</f>
        <v>5500</v>
      </c>
      <c r="H288" s="225" t="s">
        <v>56</v>
      </c>
      <c r="I288" s="226" t="str">
        <f>'Rail (EXW)'!H154</f>
        <v>Kolyadichi</v>
      </c>
      <c r="K288" s="205"/>
      <c r="M288" s="205"/>
      <c r="P288" s="206" t="str">
        <f>'Rail (EXW)'!E154</f>
        <v>4.22/4.24/
4.27/4.29/4.30</v>
      </c>
    </row>
    <row r="289" spans="1:16">
      <c r="A289" s="205" t="s">
        <v>337</v>
      </c>
      <c r="B289" s="205" t="s">
        <v>338</v>
      </c>
      <c r="C289" s="225" t="str">
        <f t="shared" si="2"/>
        <v>40 HC</v>
      </c>
      <c r="D289" s="226" t="str">
        <f>'Rail (EXW)'!A155</f>
        <v>Tianjin/Cangzhou/Langfang</v>
      </c>
      <c r="E289" s="226" t="str">
        <f>'Rail (EXW)'!G155</f>
        <v>Alashankou/Khorgos</v>
      </c>
      <c r="F289" s="226" t="str">
        <f>'Rail (EXW)'!C155</f>
        <v>Minsk</v>
      </c>
      <c r="G289" s="230">
        <f>'Rail (EXW)'!D155</f>
        <v>5550</v>
      </c>
      <c r="H289" s="225" t="s">
        <v>56</v>
      </c>
      <c r="I289" s="226" t="str">
        <f>'Rail (EXW)'!H155</f>
        <v>Kolyadichi</v>
      </c>
      <c r="K289" s="205"/>
      <c r="M289" s="205"/>
      <c r="P289" s="206" t="str">
        <f>'Rail (EXW)'!E155</f>
        <v>4.22/4.24/
4.27/4.29/4.30</v>
      </c>
    </row>
    <row r="290" spans="1:16">
      <c r="A290" s="205" t="s">
        <v>337</v>
      </c>
      <c r="B290" s="205" t="s">
        <v>338</v>
      </c>
      <c r="C290" s="225" t="str">
        <f t="shared" si="2"/>
        <v>40 HC</v>
      </c>
      <c r="D290" s="226" t="str">
        <f>'Rail (EXW)'!A156</f>
        <v>Zhongshan/Foshan/Dongguan</v>
      </c>
      <c r="E290" s="226" t="str">
        <f>'Rail (EXW)'!G156</f>
        <v>Alashankou/Khorgos</v>
      </c>
      <c r="F290" s="226" t="str">
        <f>'Rail (EXW)'!C156</f>
        <v>Minsk</v>
      </c>
      <c r="G290" s="230">
        <f>'Rail (EXW)'!D156</f>
        <v>5600</v>
      </c>
      <c r="H290" s="225" t="s">
        <v>56</v>
      </c>
      <c r="I290" s="226" t="str">
        <f>'Rail (EXW)'!H156</f>
        <v>Kolyadichi</v>
      </c>
      <c r="K290" s="205"/>
      <c r="M290" s="205"/>
      <c r="P290" s="206" t="str">
        <f>'Rail (EXW)'!E156</f>
        <v>4.22/4.24/
4.27/4.29/4.30</v>
      </c>
    </row>
    <row r="291" spans="1:16">
      <c r="A291" s="205" t="s">
        <v>337</v>
      </c>
      <c r="B291" s="205" t="s">
        <v>338</v>
      </c>
      <c r="C291" s="225" t="str">
        <f t="shared" si="2"/>
        <v>40 HC</v>
      </c>
      <c r="D291" s="226" t="str">
        <f>'Rail (EXW)'!A157</f>
        <v>Qingyuan/Huizhou/Zhuhai</v>
      </c>
      <c r="E291" s="226" t="str">
        <f>'Rail (EXW)'!G157</f>
        <v>Alashankou/Khorgos</v>
      </c>
      <c r="F291" s="226" t="str">
        <f>'Rail (EXW)'!C157</f>
        <v>Minsk</v>
      </c>
      <c r="G291" s="230">
        <f>'Rail (EXW)'!D157</f>
        <v>5700</v>
      </c>
      <c r="H291" s="225" t="s">
        <v>56</v>
      </c>
      <c r="I291" s="226" t="str">
        <f>'Rail (EXW)'!H157</f>
        <v>Kolyadichi</v>
      </c>
      <c r="K291" s="205"/>
      <c r="M291" s="205"/>
      <c r="P291" s="206" t="str">
        <f>'Rail (EXW)'!E157</f>
        <v>4.22/4.24/
4.27/4.29/4.30</v>
      </c>
    </row>
    <row r="292" spans="1:16">
      <c r="A292" s="205" t="s">
        <v>337</v>
      </c>
      <c r="B292" s="205" t="s">
        <v>338</v>
      </c>
      <c r="C292" s="225" t="str">
        <f t="shared" si="2"/>
        <v>40 HC</v>
      </c>
      <c r="D292" s="226" t="str">
        <f>'Rail (EXW)'!A158</f>
        <v>Guangzhou</v>
      </c>
      <c r="E292" s="226" t="str">
        <f>'Rail (EXW)'!G158</f>
        <v>Alashankou/Khorgos</v>
      </c>
      <c r="F292" s="226" t="str">
        <f>'Rail (EXW)'!C158</f>
        <v>Minsk</v>
      </c>
      <c r="G292" s="230">
        <f>'Rail (EXW)'!D158</f>
        <v>5550</v>
      </c>
      <c r="H292" s="225" t="s">
        <v>56</v>
      </c>
      <c r="I292" s="226" t="str">
        <f>'Rail (EXW)'!H158</f>
        <v>Kolyadichi</v>
      </c>
      <c r="K292" s="205"/>
      <c r="M292" s="205"/>
      <c r="P292" s="206" t="str">
        <f>'Rail (EXW)'!E158</f>
        <v>4.22/4.24/
4.27/4.29/4.30</v>
      </c>
    </row>
    <row r="293" spans="1:16">
      <c r="A293" s="205" t="s">
        <v>337</v>
      </c>
      <c r="B293" s="205" t="s">
        <v>338</v>
      </c>
      <c r="C293" s="225" t="str">
        <f t="shared" si="2"/>
        <v>40 HC</v>
      </c>
      <c r="D293" s="226" t="str">
        <f>'Rail (EXW)'!A159</f>
        <v>Shenzhen</v>
      </c>
      <c r="E293" s="226" t="str">
        <f>'Rail (EXW)'!G159</f>
        <v>Alashankou/Khorgos</v>
      </c>
      <c r="F293" s="226" t="str">
        <f>'Rail (EXW)'!C159</f>
        <v>Minsk</v>
      </c>
      <c r="G293" s="230">
        <f>'Rail (EXW)'!D159</f>
        <v>5600</v>
      </c>
      <c r="H293" s="225" t="s">
        <v>56</v>
      </c>
      <c r="I293" s="226" t="str">
        <f>'Rail (EXW)'!H159</f>
        <v>Kolyadichi</v>
      </c>
      <c r="K293" s="205"/>
      <c r="M293" s="205"/>
      <c r="P293" s="206" t="str">
        <f>'Rail (EXW)'!E159</f>
        <v>4.22/4.24/
4.27/4.29/4.30</v>
      </c>
    </row>
    <row r="294" spans="1:16">
      <c r="A294" s="205" t="s">
        <v>337</v>
      </c>
      <c r="B294" s="205" t="s">
        <v>338</v>
      </c>
      <c r="C294" s="225" t="str">
        <f t="shared" si="2"/>
        <v>40 HC</v>
      </c>
      <c r="D294" s="226" t="str">
        <f>'Rail (EXW)'!A160</f>
        <v>Chaozhou/Shantou</v>
      </c>
      <c r="E294" s="226" t="str">
        <f>'Rail (EXW)'!G160</f>
        <v>Alashankou/Khorgos</v>
      </c>
      <c r="F294" s="226" t="str">
        <f>'Rail (EXW)'!C160</f>
        <v>Minsk</v>
      </c>
      <c r="G294" s="230">
        <f>'Rail (EXW)'!D160</f>
        <v>6000</v>
      </c>
      <c r="H294" s="225" t="s">
        <v>56</v>
      </c>
      <c r="I294" s="226" t="str">
        <f>'Rail (EXW)'!H160</f>
        <v>Kolyadichi</v>
      </c>
      <c r="K294" s="205"/>
      <c r="M294" s="205"/>
      <c r="P294" s="206" t="str">
        <f>'Rail (EXW)'!E160</f>
        <v>4.22/4.24/
4.27/4.29/4.30</v>
      </c>
    </row>
    <row r="295" spans="1:16">
      <c r="A295" s="205" t="s">
        <v>337</v>
      </c>
      <c r="B295" s="205" t="s">
        <v>338</v>
      </c>
      <c r="C295" s="225" t="str">
        <f t="shared" si="2"/>
        <v>40 HC</v>
      </c>
      <c r="D295" s="226" t="str">
        <f>'Rail (EXW)'!A161</f>
        <v>Chengdu</v>
      </c>
      <c r="E295" s="226" t="str">
        <f>'Rail (EXW)'!G161</f>
        <v>Alashankou/Khorgos</v>
      </c>
      <c r="F295" s="226" t="str">
        <f>'Rail (EXW)'!C161</f>
        <v>Minsk</v>
      </c>
      <c r="G295" s="230">
        <f>'Rail (EXW)'!D161</f>
        <v>4200</v>
      </c>
      <c r="H295" s="225" t="s">
        <v>56</v>
      </c>
      <c r="I295" s="226" t="str">
        <f>'Rail (EXW)'!H161</f>
        <v>Kolyadichi</v>
      </c>
      <c r="K295" s="205"/>
      <c r="M295" s="205"/>
      <c r="P295" s="206" t="str">
        <f>'Rail (EXW)'!E161</f>
        <v>4.22/4.24/
4.27/4.29/4.30</v>
      </c>
    </row>
    <row r="296" spans="1:16">
      <c r="A296" s="205" t="s">
        <v>337</v>
      </c>
      <c r="B296" s="205" t="s">
        <v>338</v>
      </c>
      <c r="C296" s="225" t="str">
        <f t="shared" si="2"/>
        <v>40 HC</v>
      </c>
      <c r="D296" s="226" t="str">
        <f>'Rail (EXW)'!A162</f>
        <v>Xiamen</v>
      </c>
      <c r="E296" s="226" t="str">
        <f>'Rail (EXW)'!G162</f>
        <v>Alashankou/Khorgos</v>
      </c>
      <c r="F296" s="226">
        <f>'Rail (EXW)'!C162</f>
        <v>0</v>
      </c>
      <c r="G296" s="230">
        <f>'Rail (EXW)'!D162</f>
        <v>5750</v>
      </c>
      <c r="H296" s="225" t="s">
        <v>56</v>
      </c>
      <c r="I296" s="226" t="str">
        <f>'Rail (EXW)'!H162</f>
        <v>Kolyadichi</v>
      </c>
      <c r="K296" s="205"/>
      <c r="M296" s="205"/>
      <c r="P296" s="206" t="str">
        <f>'Rail (EXW)'!E162</f>
        <v>4.22/4.24/
4.27/4.29/4.30</v>
      </c>
    </row>
    <row r="297" spans="1:16">
      <c r="A297" s="205" t="s">
        <v>337</v>
      </c>
      <c r="B297" s="205" t="s">
        <v>338</v>
      </c>
      <c r="C297" s="225" t="str">
        <f t="shared" si="2"/>
        <v>40 HC</v>
      </c>
      <c r="D297" s="226">
        <f>'Rail (EXW)'!A163</f>
        <v>0</v>
      </c>
      <c r="E297" s="226">
        <f>'Rail (EXW)'!G163</f>
        <v>0</v>
      </c>
      <c r="F297" s="226">
        <f>'Rail (EXW)'!C163</f>
        <v>0</v>
      </c>
      <c r="G297" s="230">
        <f>'Rail (EXW)'!D163</f>
        <v>0</v>
      </c>
      <c r="H297" s="225" t="s">
        <v>56</v>
      </c>
      <c r="I297" s="226">
        <f>'Rail (EXW)'!H163</f>
        <v>0</v>
      </c>
      <c r="K297" s="205"/>
      <c r="M297" s="205"/>
      <c r="P297" s="206">
        <f>'Rail (EXW)'!E163</f>
        <v>0</v>
      </c>
    </row>
    <row r="298" spans="1:16">
      <c r="A298" s="205" t="s">
        <v>337</v>
      </c>
      <c r="B298" s="205" t="s">
        <v>338</v>
      </c>
      <c r="C298" s="225" t="str">
        <f t="shared" si="2"/>
        <v>40 HC</v>
      </c>
      <c r="D298" s="226" t="str">
        <f>'Rail (EXW)'!A164</f>
        <v>Shanghai/Suzhou/Changzhou/Zhenjiang/Nantong</v>
      </c>
      <c r="E298" s="226" t="str">
        <f>'Rail (EXW)'!G164</f>
        <v>Manzhouli</v>
      </c>
      <c r="F298" s="226" t="str">
        <f>'Rail (EXW)'!C164</f>
        <v>Minsk</v>
      </c>
      <c r="G298" s="230">
        <f>'Rail (EXW)'!D164</f>
        <v>5730</v>
      </c>
      <c r="H298" s="225" t="s">
        <v>56</v>
      </c>
      <c r="I298" s="226" t="str">
        <f>'Rail (EXW)'!H164</f>
        <v>Kolyadichi</v>
      </c>
      <c r="K298" s="205"/>
      <c r="M298" s="205"/>
      <c r="P298" s="206" t="str">
        <f>'Rail (EXW)'!E164</f>
        <v>26-Apr</v>
      </c>
    </row>
    <row r="299" spans="1:16">
      <c r="A299" s="205" t="s">
        <v>337</v>
      </c>
      <c r="B299" s="205" t="s">
        <v>338</v>
      </c>
      <c r="C299" s="225" t="str">
        <f t="shared" si="2"/>
        <v>40 HC</v>
      </c>
      <c r="D299" s="226" t="str">
        <f>'Rail (EXW)'!A165</f>
        <v>Tianjin</v>
      </c>
      <c r="E299" s="226" t="str">
        <f>'Rail (EXW)'!G165</f>
        <v>Manzhouli</v>
      </c>
      <c r="F299" s="226" t="str">
        <f>'Rail (EXW)'!C165</f>
        <v>Minsk</v>
      </c>
      <c r="G299" s="230">
        <f>'Rail (EXW)'!D165</f>
        <v>5700</v>
      </c>
      <c r="H299" s="225" t="s">
        <v>56</v>
      </c>
      <c r="I299" s="226" t="str">
        <f>'Rail (EXW)'!H165</f>
        <v>Kolyadichi</v>
      </c>
      <c r="K299" s="205"/>
      <c r="M299" s="205"/>
      <c r="P299" s="206" t="str">
        <f>'Rail (EXW)'!E165</f>
        <v>26-Apr</v>
      </c>
    </row>
    <row r="300" spans="1:16">
      <c r="A300" s="205" t="s">
        <v>337</v>
      </c>
      <c r="B300" s="205" t="s">
        <v>338</v>
      </c>
      <c r="C300" s="225" t="str">
        <f t="shared" si="2"/>
        <v>40 HC</v>
      </c>
      <c r="D300" s="226" t="str">
        <f>'Rail (EXW)'!A166</f>
        <v>Qingdao</v>
      </c>
      <c r="E300" s="226" t="str">
        <f>'Rail (EXW)'!G166</f>
        <v>Manzhouli</v>
      </c>
      <c r="F300" s="226" t="str">
        <f>'Rail (EXW)'!C166</f>
        <v>Minsk</v>
      </c>
      <c r="G300" s="230">
        <f>'Rail (EXW)'!D166</f>
        <v>5600</v>
      </c>
      <c r="H300" s="225" t="s">
        <v>56</v>
      </c>
      <c r="I300" s="226" t="str">
        <f>'Rail (EXW)'!H166</f>
        <v>Kolyadichi</v>
      </c>
      <c r="K300" s="205"/>
      <c r="M300" s="205"/>
      <c r="P300" s="206" t="str">
        <f>'Rail (EXW)'!E166</f>
        <v>26-Apr</v>
      </c>
    </row>
    <row r="301" spans="1:16">
      <c r="A301" s="205" t="s">
        <v>337</v>
      </c>
      <c r="B301" s="205" t="s">
        <v>338</v>
      </c>
      <c r="C301" s="225" t="str">
        <f t="shared" si="2"/>
        <v>40 HC</v>
      </c>
      <c r="D301" s="226">
        <f>'Rail (EXW)'!A167</f>
        <v>0</v>
      </c>
      <c r="E301" s="226">
        <f>'Rail (EXW)'!G167</f>
        <v>0</v>
      </c>
      <c r="F301" s="226">
        <f>'Rail (EXW)'!C167</f>
        <v>0</v>
      </c>
      <c r="G301" s="230">
        <f>'Rail (EXW)'!D167</f>
        <v>0</v>
      </c>
      <c r="H301" s="225" t="s">
        <v>56</v>
      </c>
      <c r="I301" s="226">
        <f>'Rail (EXW)'!H167</f>
        <v>0</v>
      </c>
      <c r="K301" s="205"/>
      <c r="M301" s="205"/>
      <c r="P301" s="206">
        <f>'Rail (EXW)'!E167</f>
        <v>0</v>
      </c>
    </row>
    <row r="302" spans="1:16">
      <c r="A302" s="205" t="s">
        <v>350</v>
      </c>
      <c r="B302" s="205" t="s">
        <v>338</v>
      </c>
      <c r="C302" s="225" t="s">
        <v>351</v>
      </c>
      <c r="D302" s="226" t="str">
        <f>Truck!H5</f>
        <v>Shenzhen/Guangzhou</v>
      </c>
      <c r="E302" s="226" t="str">
        <f>Truck!$G$5</f>
        <v>Erenhot</v>
      </c>
      <c r="F302" s="226" t="str">
        <f>Truck!C5</f>
        <v>Moscow（Москва）</v>
      </c>
      <c r="G302" s="230">
        <f>Truck!E5</f>
        <v>10100</v>
      </c>
      <c r="H302" s="225" t="s">
        <v>56</v>
      </c>
      <c r="I302" s="226"/>
      <c r="K302" s="205"/>
      <c r="M302" s="205"/>
      <c r="N302" s="236">
        <v>45772</v>
      </c>
      <c r="O302" t="str">
        <f>Truck!F5</f>
        <v>18-20</v>
      </c>
      <c r="P302" s="237" t="s">
        <v>352</v>
      </c>
    </row>
    <row r="303" spans="1:16">
      <c r="A303" s="205" t="s">
        <v>350</v>
      </c>
      <c r="B303" s="205" t="s">
        <v>338</v>
      </c>
      <c r="C303" s="225" t="str">
        <f>$C$302</f>
        <v>22т 82м3</v>
      </c>
      <c r="D303" s="226" t="str">
        <f>Truck!H6</f>
        <v>Shenzhen/Guangzhou</v>
      </c>
      <c r="E303" s="226" t="str">
        <f>Truck!$G$5</f>
        <v>Erenhot</v>
      </c>
      <c r="F303" s="226" t="str">
        <f>Truck!C6</f>
        <v>St. Petersburg（Санкт-Петербург）</v>
      </c>
      <c r="G303" s="230">
        <f>Truck!E6</f>
        <v>10400</v>
      </c>
      <c r="H303" s="225" t="s">
        <v>56</v>
      </c>
      <c r="I303" s="226"/>
      <c r="K303" s="205"/>
      <c r="M303" s="205"/>
      <c r="N303" s="236">
        <f>$N$302</f>
        <v>45772</v>
      </c>
      <c r="O303" t="str">
        <f>Truck!F6</f>
        <v>18-22</v>
      </c>
      <c r="P303" s="237" t="str">
        <f>$P$302</f>
        <v>2 дня после заявки</v>
      </c>
    </row>
    <row r="304" spans="1:16">
      <c r="A304" s="205" t="s">
        <v>350</v>
      </c>
      <c r="B304" s="205" t="s">
        <v>338</v>
      </c>
      <c r="C304" s="225" t="str">
        <f t="shared" ref="C304:C367" si="3">$C$302</f>
        <v>22т 82м3</v>
      </c>
      <c r="D304" s="226" t="str">
        <f>Truck!H7</f>
        <v>Shenzhen/Guangzhou</v>
      </c>
      <c r="E304" s="226" t="str">
        <f>Truck!$G$5</f>
        <v>Erenhot</v>
      </c>
      <c r="F304" s="226" t="str">
        <f>Truck!C7</f>
        <v>Novosibirsk（Новосибирск）</v>
      </c>
      <c r="G304" s="230">
        <f>Truck!E7</f>
        <v>8500</v>
      </c>
      <c r="H304" s="225" t="s">
        <v>56</v>
      </c>
      <c r="I304" s="226"/>
      <c r="K304" s="205"/>
      <c r="M304" s="205"/>
      <c r="N304" s="236">
        <f t="shared" ref="N304:N367" si="4">$N$302</f>
        <v>45772</v>
      </c>
      <c r="O304" t="str">
        <f>Truck!F7</f>
        <v>18-20</v>
      </c>
      <c r="P304" s="237" t="str">
        <f t="shared" ref="P304:P367" si="5">$P$302</f>
        <v>2 дня после заявки</v>
      </c>
    </row>
    <row r="305" spans="1:16">
      <c r="A305" s="205" t="s">
        <v>350</v>
      </c>
      <c r="B305" s="205" t="s">
        <v>338</v>
      </c>
      <c r="C305" s="225" t="str">
        <f t="shared" si="3"/>
        <v>22т 82м3</v>
      </c>
      <c r="D305" s="226" t="str">
        <f>Truck!H8</f>
        <v>Shenzhen/Guangzhou</v>
      </c>
      <c r="E305" s="226" t="str">
        <f>Truck!$G$5</f>
        <v>Erenhot</v>
      </c>
      <c r="F305" s="226" t="str">
        <f>Truck!C8</f>
        <v>Minsk（Минск）</v>
      </c>
      <c r="G305" s="230">
        <f>Truck!E8</f>
        <v>10800</v>
      </c>
      <c r="H305" s="225" t="s">
        <v>56</v>
      </c>
      <c r="I305" s="226"/>
      <c r="K305" s="205"/>
      <c r="M305" s="205"/>
      <c r="N305" s="236">
        <f t="shared" si="4"/>
        <v>45772</v>
      </c>
      <c r="O305" t="str">
        <f>Truck!F8</f>
        <v>18-22</v>
      </c>
      <c r="P305" s="237" t="str">
        <f t="shared" si="5"/>
        <v>2 дня после заявки</v>
      </c>
    </row>
    <row r="306" spans="1:16">
      <c r="A306" s="205" t="s">
        <v>350</v>
      </c>
      <c r="B306" s="205" t="s">
        <v>338</v>
      </c>
      <c r="C306" s="225" t="str">
        <f t="shared" si="3"/>
        <v>22т 82м3</v>
      </c>
      <c r="D306" s="226" t="str">
        <f>Truck!H9</f>
        <v>Shenzhen/Guangzhou</v>
      </c>
      <c r="E306" s="226" t="str">
        <f>Truck!$G$5</f>
        <v>Erenhot</v>
      </c>
      <c r="F306" s="226" t="str">
        <f>Truck!C9</f>
        <v>Chelyabinsk（Челябинск）</v>
      </c>
      <c r="G306" s="230">
        <f>Truck!E9</f>
        <v>9000</v>
      </c>
      <c r="H306" s="225" t="s">
        <v>56</v>
      </c>
      <c r="I306" s="226"/>
      <c r="K306" s="205"/>
      <c r="M306" s="205"/>
      <c r="N306" s="236">
        <f t="shared" si="4"/>
        <v>45772</v>
      </c>
      <c r="O306" t="str">
        <f>Truck!F9</f>
        <v>18-20</v>
      </c>
      <c r="P306" s="237" t="str">
        <f t="shared" si="5"/>
        <v>2 дня после заявки</v>
      </c>
    </row>
    <row r="307" spans="1:16">
      <c r="A307" s="205" t="s">
        <v>350</v>
      </c>
      <c r="B307" s="205" t="s">
        <v>338</v>
      </c>
      <c r="C307" s="225" t="str">
        <f t="shared" si="3"/>
        <v>22т 82м3</v>
      </c>
      <c r="D307" s="226" t="str">
        <f>Truck!H10</f>
        <v>Shenzhen/Guangzhou</v>
      </c>
      <c r="E307" s="226" t="str">
        <f>Truck!$G$5</f>
        <v>Erenhot</v>
      </c>
      <c r="F307" s="226" t="str">
        <f>Truck!C10</f>
        <v>Nizhny Novgorod(Нижний Новгород)</v>
      </c>
      <c r="G307" s="230">
        <f>Truck!E10</f>
        <v>9800</v>
      </c>
      <c r="H307" s="225" t="s">
        <v>56</v>
      </c>
      <c r="I307" s="226"/>
      <c r="K307" s="205"/>
      <c r="M307" s="205"/>
      <c r="N307" s="236">
        <f t="shared" si="4"/>
        <v>45772</v>
      </c>
      <c r="O307" t="str">
        <f>Truck!F10</f>
        <v>18-20</v>
      </c>
      <c r="P307" s="237" t="str">
        <f t="shared" si="5"/>
        <v>2 дня после заявки</v>
      </c>
    </row>
    <row r="308" spans="1:16">
      <c r="A308" s="205" t="s">
        <v>350</v>
      </c>
      <c r="B308" s="205" t="s">
        <v>338</v>
      </c>
      <c r="C308" s="225" t="str">
        <f t="shared" si="3"/>
        <v>22т 82м3</v>
      </c>
      <c r="D308" s="226" t="str">
        <f>Truck!H11</f>
        <v>Shenzhen/Guangzhou</v>
      </c>
      <c r="E308" s="226" t="str">
        <f>Truck!$G$5</f>
        <v>Erenhot</v>
      </c>
      <c r="F308" s="226" t="str">
        <f>Truck!C11</f>
        <v>Krasnoyar（Краснояр）</v>
      </c>
      <c r="G308" s="230">
        <f>Truck!E11</f>
        <v>8300</v>
      </c>
      <c r="H308" s="225" t="s">
        <v>56</v>
      </c>
      <c r="I308" s="226"/>
      <c r="K308" s="205"/>
      <c r="M308" s="205"/>
      <c r="N308" s="236">
        <f t="shared" si="4"/>
        <v>45772</v>
      </c>
      <c r="O308" t="str">
        <f>Truck!F11</f>
        <v>15-18</v>
      </c>
      <c r="P308" s="237" t="str">
        <f t="shared" si="5"/>
        <v>2 дня после заявки</v>
      </c>
    </row>
    <row r="309" spans="1:16">
      <c r="A309" s="205" t="s">
        <v>350</v>
      </c>
      <c r="B309" s="205" t="s">
        <v>338</v>
      </c>
      <c r="C309" s="225" t="str">
        <f t="shared" si="3"/>
        <v>22т 82м3</v>
      </c>
      <c r="D309" s="226" t="str">
        <f>Truck!H12</f>
        <v>Shenzhen/Guangzhou</v>
      </c>
      <c r="E309" s="226" t="str">
        <f>Truck!$G$5</f>
        <v>Erenhot</v>
      </c>
      <c r="F309" s="226" t="str">
        <f>Truck!C12</f>
        <v>Irkutsk（Иркутск）</v>
      </c>
      <c r="G309" s="230">
        <f>Truck!E12</f>
        <v>7800</v>
      </c>
      <c r="H309" s="225" t="s">
        <v>56</v>
      </c>
      <c r="I309" s="226"/>
      <c r="K309" s="205"/>
      <c r="M309" s="205"/>
      <c r="N309" s="236">
        <f t="shared" si="4"/>
        <v>45772</v>
      </c>
      <c r="O309" t="str">
        <f>Truck!F12</f>
        <v>15-18</v>
      </c>
      <c r="P309" s="237" t="str">
        <f t="shared" si="5"/>
        <v>2 дня после заявки</v>
      </c>
    </row>
    <row r="310" spans="1:16">
      <c r="A310" s="205" t="s">
        <v>350</v>
      </c>
      <c r="B310" s="205" t="s">
        <v>338</v>
      </c>
      <c r="C310" s="225" t="str">
        <f t="shared" si="3"/>
        <v>22т 82м3</v>
      </c>
      <c r="D310" s="226" t="str">
        <f>Truck!H13</f>
        <v>Shenzhen/Guangzhou</v>
      </c>
      <c r="E310" s="226" t="str">
        <f>Truck!$G$5</f>
        <v>Erenhot</v>
      </c>
      <c r="F310" s="226" t="str">
        <f>Truck!C13</f>
        <v>Novokuznetsk（Новокузнецк）</v>
      </c>
      <c r="G310" s="230">
        <f>Truck!E13</f>
        <v>8500</v>
      </c>
      <c r="H310" s="225" t="s">
        <v>56</v>
      </c>
      <c r="I310" s="226"/>
      <c r="K310" s="205"/>
      <c r="M310" s="205"/>
      <c r="N310" s="236">
        <f t="shared" si="4"/>
        <v>45772</v>
      </c>
      <c r="O310" t="str">
        <f>Truck!F13</f>
        <v>15-18</v>
      </c>
      <c r="P310" s="237" t="str">
        <f t="shared" si="5"/>
        <v>2 дня после заявки</v>
      </c>
    </row>
    <row r="311" spans="1:16">
      <c r="A311" s="205" t="s">
        <v>350</v>
      </c>
      <c r="B311" s="205" t="s">
        <v>338</v>
      </c>
      <c r="C311" s="225" t="str">
        <f t="shared" si="3"/>
        <v>22т 82м3</v>
      </c>
      <c r="D311" s="226" t="str">
        <f>Truck!H14</f>
        <v>Xiamen</v>
      </c>
      <c r="E311" s="226" t="str">
        <f>Truck!$G$5</f>
        <v>Erenhot</v>
      </c>
      <c r="F311" s="226" t="str">
        <f>Truck!C14</f>
        <v>Moscow（Москва）</v>
      </c>
      <c r="G311" s="230">
        <f>Truck!E14</f>
        <v>10100</v>
      </c>
      <c r="H311" s="225" t="s">
        <v>56</v>
      </c>
      <c r="I311" s="226"/>
      <c r="K311" s="205"/>
      <c r="M311" s="205"/>
      <c r="N311" s="236">
        <f t="shared" si="4"/>
        <v>45772</v>
      </c>
      <c r="O311" t="str">
        <f>Truck!F14</f>
        <v>18-20</v>
      </c>
      <c r="P311" s="237" t="str">
        <f t="shared" si="5"/>
        <v>2 дня после заявки</v>
      </c>
    </row>
    <row r="312" spans="1:16">
      <c r="A312" s="205" t="s">
        <v>350</v>
      </c>
      <c r="B312" s="205" t="s">
        <v>338</v>
      </c>
      <c r="C312" s="225" t="str">
        <f t="shared" si="3"/>
        <v>22т 82м3</v>
      </c>
      <c r="D312" s="226" t="str">
        <f>Truck!H15</f>
        <v>Xiamen</v>
      </c>
      <c r="E312" s="226" t="str">
        <f>Truck!$G$5</f>
        <v>Erenhot</v>
      </c>
      <c r="F312" s="226" t="str">
        <f>Truck!C15</f>
        <v>St. Petersburg（Санкт-Петербург）</v>
      </c>
      <c r="G312" s="230">
        <f>Truck!E15</f>
        <v>10400</v>
      </c>
      <c r="H312" s="225" t="s">
        <v>56</v>
      </c>
      <c r="I312" s="226"/>
      <c r="K312" s="205"/>
      <c r="M312" s="205"/>
      <c r="N312" s="236">
        <f t="shared" si="4"/>
        <v>45772</v>
      </c>
      <c r="O312" t="str">
        <f>Truck!F15</f>
        <v>18-20</v>
      </c>
      <c r="P312" s="237" t="str">
        <f t="shared" si="5"/>
        <v>2 дня после заявки</v>
      </c>
    </row>
    <row r="313" spans="1:16">
      <c r="A313" s="205" t="s">
        <v>350</v>
      </c>
      <c r="B313" s="205" t="s">
        <v>338</v>
      </c>
      <c r="C313" s="225" t="str">
        <f t="shared" si="3"/>
        <v>22т 82м3</v>
      </c>
      <c r="D313" s="226" t="str">
        <f>Truck!H16</f>
        <v>Xiamen</v>
      </c>
      <c r="E313" s="226" t="str">
        <f>Truck!$G$5</f>
        <v>Erenhot</v>
      </c>
      <c r="F313" s="226" t="str">
        <f>Truck!C16</f>
        <v>Novosibirsk（Новосибирск）</v>
      </c>
      <c r="G313" s="230">
        <f>Truck!E16</f>
        <v>8500</v>
      </c>
      <c r="H313" s="225" t="s">
        <v>56</v>
      </c>
      <c r="I313" s="226"/>
      <c r="K313" s="205"/>
      <c r="M313" s="205"/>
      <c r="N313" s="236">
        <f t="shared" si="4"/>
        <v>45772</v>
      </c>
      <c r="O313" t="str">
        <f>Truck!F16</f>
        <v>18-20</v>
      </c>
      <c r="P313" s="237" t="str">
        <f t="shared" si="5"/>
        <v>2 дня после заявки</v>
      </c>
    </row>
    <row r="314" spans="1:16">
      <c r="A314" s="205" t="s">
        <v>350</v>
      </c>
      <c r="B314" s="205" t="s">
        <v>338</v>
      </c>
      <c r="C314" s="225" t="str">
        <f t="shared" si="3"/>
        <v>22т 82м3</v>
      </c>
      <c r="D314" s="226" t="str">
        <f>Truck!H17</f>
        <v>Xiamen</v>
      </c>
      <c r="E314" s="226" t="str">
        <f>Truck!$G$5</f>
        <v>Erenhot</v>
      </c>
      <c r="F314" s="226" t="str">
        <f>Truck!C17</f>
        <v>Minsk（Минск）</v>
      </c>
      <c r="G314" s="230">
        <f>Truck!E17</f>
        <v>10800</v>
      </c>
      <c r="H314" s="225" t="s">
        <v>56</v>
      </c>
      <c r="I314" s="226"/>
      <c r="K314" s="205"/>
      <c r="M314" s="205"/>
      <c r="N314" s="236">
        <f t="shared" si="4"/>
        <v>45772</v>
      </c>
      <c r="O314" t="str">
        <f>Truck!F17</f>
        <v>18-22</v>
      </c>
      <c r="P314" s="237" t="str">
        <f t="shared" si="5"/>
        <v>2 дня после заявки</v>
      </c>
    </row>
    <row r="315" spans="1:16">
      <c r="A315" s="205" t="s">
        <v>350</v>
      </c>
      <c r="B315" s="205" t="s">
        <v>338</v>
      </c>
      <c r="C315" s="225" t="str">
        <f t="shared" si="3"/>
        <v>22т 82м3</v>
      </c>
      <c r="D315" s="226" t="str">
        <f>Truck!H18</f>
        <v>Xiamen</v>
      </c>
      <c r="E315" s="226" t="str">
        <f>Truck!$G$5</f>
        <v>Erenhot</v>
      </c>
      <c r="F315" s="226" t="str">
        <f>Truck!C18</f>
        <v>Chelyabinsk（Челябинск）</v>
      </c>
      <c r="G315" s="230">
        <f>Truck!E18</f>
        <v>9000</v>
      </c>
      <c r="H315" s="225" t="s">
        <v>56</v>
      </c>
      <c r="I315" s="226"/>
      <c r="K315" s="205"/>
      <c r="M315" s="205"/>
      <c r="N315" s="236">
        <f t="shared" si="4"/>
        <v>45772</v>
      </c>
      <c r="O315" t="str">
        <f>Truck!F18</f>
        <v>18-20</v>
      </c>
      <c r="P315" s="237" t="str">
        <f t="shared" si="5"/>
        <v>2 дня после заявки</v>
      </c>
    </row>
    <row r="316" spans="1:16">
      <c r="A316" s="205" t="s">
        <v>350</v>
      </c>
      <c r="B316" s="205" t="s">
        <v>338</v>
      </c>
      <c r="C316" s="225" t="str">
        <f t="shared" si="3"/>
        <v>22т 82м3</v>
      </c>
      <c r="D316" s="226" t="str">
        <f>Truck!H19</f>
        <v>Xiamen</v>
      </c>
      <c r="E316" s="226" t="str">
        <f>Truck!$G$5</f>
        <v>Erenhot</v>
      </c>
      <c r="F316" s="226" t="str">
        <f>Truck!C19</f>
        <v>Nizhny Novgorod(Нижний Новгород)</v>
      </c>
      <c r="G316" s="230">
        <f>Truck!E19</f>
        <v>9800</v>
      </c>
      <c r="H316" s="225" t="s">
        <v>56</v>
      </c>
      <c r="I316" s="226"/>
      <c r="K316" s="205"/>
      <c r="M316" s="205"/>
      <c r="N316" s="236">
        <f t="shared" si="4"/>
        <v>45772</v>
      </c>
      <c r="O316" t="str">
        <f>Truck!F19</f>
        <v>18-20</v>
      </c>
      <c r="P316" s="237" t="str">
        <f t="shared" si="5"/>
        <v>2 дня после заявки</v>
      </c>
    </row>
    <row r="317" spans="1:16">
      <c r="A317" s="205" t="s">
        <v>350</v>
      </c>
      <c r="B317" s="205" t="s">
        <v>338</v>
      </c>
      <c r="C317" s="225" t="str">
        <f t="shared" si="3"/>
        <v>22т 82м3</v>
      </c>
      <c r="D317" s="226" t="str">
        <f>Truck!H20</f>
        <v>Xiamen</v>
      </c>
      <c r="E317" s="226" t="str">
        <f>Truck!$G$5</f>
        <v>Erenhot</v>
      </c>
      <c r="F317" s="226" t="str">
        <f>Truck!C20</f>
        <v>Krasnoyar（Краснояр）</v>
      </c>
      <c r="G317" s="230">
        <f>Truck!E20</f>
        <v>8300</v>
      </c>
      <c r="H317" s="225" t="s">
        <v>56</v>
      </c>
      <c r="I317" s="226"/>
      <c r="K317" s="205"/>
      <c r="M317" s="205"/>
      <c r="N317" s="236">
        <f t="shared" si="4"/>
        <v>45772</v>
      </c>
      <c r="O317" t="str">
        <f>Truck!F20</f>
        <v>15-18</v>
      </c>
      <c r="P317" s="237" t="str">
        <f t="shared" si="5"/>
        <v>2 дня после заявки</v>
      </c>
    </row>
    <row r="318" spans="1:16">
      <c r="A318" s="205" t="s">
        <v>350</v>
      </c>
      <c r="B318" s="205" t="s">
        <v>338</v>
      </c>
      <c r="C318" s="225" t="str">
        <f t="shared" si="3"/>
        <v>22т 82м3</v>
      </c>
      <c r="D318" s="226" t="str">
        <f>Truck!H21</f>
        <v>Xiamen</v>
      </c>
      <c r="E318" s="226" t="str">
        <f>Truck!$G$5</f>
        <v>Erenhot</v>
      </c>
      <c r="F318" s="226" t="str">
        <f>Truck!C21</f>
        <v>Irkutsk（Иркутск）</v>
      </c>
      <c r="G318" s="230">
        <f>Truck!E21</f>
        <v>7800</v>
      </c>
      <c r="H318" s="225" t="s">
        <v>56</v>
      </c>
      <c r="I318" s="226"/>
      <c r="K318" s="205"/>
      <c r="M318" s="205"/>
      <c r="N318" s="236">
        <f t="shared" si="4"/>
        <v>45772</v>
      </c>
      <c r="O318" t="str">
        <f>Truck!F21</f>
        <v>15-18</v>
      </c>
      <c r="P318" s="237" t="str">
        <f t="shared" si="5"/>
        <v>2 дня после заявки</v>
      </c>
    </row>
    <row r="319" spans="1:16">
      <c r="A319" s="205" t="s">
        <v>350</v>
      </c>
      <c r="B319" s="205" t="s">
        <v>338</v>
      </c>
      <c r="C319" s="225" t="str">
        <f t="shared" si="3"/>
        <v>22т 82м3</v>
      </c>
      <c r="D319" s="226" t="str">
        <f>Truck!H22</f>
        <v>Xiamen</v>
      </c>
      <c r="E319" s="226" t="str">
        <f>Truck!$G$5</f>
        <v>Erenhot</v>
      </c>
      <c r="F319" s="226" t="str">
        <f>Truck!C22</f>
        <v>Novokuznetsk（Новокузнецк）</v>
      </c>
      <c r="G319" s="230">
        <f>Truck!E22</f>
        <v>8500</v>
      </c>
      <c r="H319" s="225" t="s">
        <v>56</v>
      </c>
      <c r="I319" s="226"/>
      <c r="K319" s="205"/>
      <c r="M319" s="205"/>
      <c r="N319" s="236">
        <f t="shared" si="4"/>
        <v>45772</v>
      </c>
      <c r="O319" t="str">
        <f>Truck!F22</f>
        <v>15-18</v>
      </c>
      <c r="P319" s="237" t="str">
        <f t="shared" si="5"/>
        <v>2 дня после заявки</v>
      </c>
    </row>
    <row r="320" spans="1:16">
      <c r="A320" s="205" t="s">
        <v>350</v>
      </c>
      <c r="B320" s="205" t="s">
        <v>338</v>
      </c>
      <c r="C320" s="225" t="str">
        <f t="shared" si="3"/>
        <v>22т 82м3</v>
      </c>
      <c r="D320" s="226" t="str">
        <f>Truck!H23</f>
        <v>Ningbo</v>
      </c>
      <c r="E320" s="226" t="str">
        <f>Truck!$G$5</f>
        <v>Erenhot</v>
      </c>
      <c r="F320" s="226" t="str">
        <f>Truck!C23</f>
        <v>Moscow（Москва）</v>
      </c>
      <c r="G320" s="230">
        <f>Truck!E23</f>
        <v>9500</v>
      </c>
      <c r="H320" s="225" t="s">
        <v>56</v>
      </c>
      <c r="I320" s="226"/>
      <c r="K320" s="205"/>
      <c r="M320" s="205"/>
      <c r="N320" s="236">
        <f t="shared" si="4"/>
        <v>45772</v>
      </c>
      <c r="O320" t="str">
        <f>Truck!F23</f>
        <v>18-20</v>
      </c>
      <c r="P320" s="237" t="str">
        <f t="shared" si="5"/>
        <v>2 дня после заявки</v>
      </c>
    </row>
    <row r="321" spans="1:16">
      <c r="A321" s="205" t="s">
        <v>350</v>
      </c>
      <c r="B321" s="205" t="s">
        <v>338</v>
      </c>
      <c r="C321" s="225" t="str">
        <f t="shared" si="3"/>
        <v>22т 82м3</v>
      </c>
      <c r="D321" s="226" t="str">
        <f>Truck!H24</f>
        <v>Ningbo</v>
      </c>
      <c r="E321" s="226" t="str">
        <f>Truck!$G$5</f>
        <v>Erenhot</v>
      </c>
      <c r="F321" s="226" t="str">
        <f>Truck!C24</f>
        <v>St. Petersburg（Санкт-Петербург）</v>
      </c>
      <c r="G321" s="230">
        <f>Truck!E24</f>
        <v>9800</v>
      </c>
      <c r="H321" s="225" t="s">
        <v>56</v>
      </c>
      <c r="I321" s="226"/>
      <c r="K321" s="205"/>
      <c r="M321" s="205"/>
      <c r="N321" s="236">
        <f t="shared" si="4"/>
        <v>45772</v>
      </c>
      <c r="O321" t="str">
        <f>Truck!F24</f>
        <v>18-22</v>
      </c>
      <c r="P321" s="237" t="str">
        <f t="shared" si="5"/>
        <v>2 дня после заявки</v>
      </c>
    </row>
    <row r="322" spans="1:16">
      <c r="A322" s="205" t="s">
        <v>350</v>
      </c>
      <c r="B322" s="205" t="s">
        <v>338</v>
      </c>
      <c r="C322" s="225" t="str">
        <f t="shared" si="3"/>
        <v>22т 82м3</v>
      </c>
      <c r="D322" s="226" t="str">
        <f>Truck!H25</f>
        <v>Ningbo</v>
      </c>
      <c r="E322" s="226" t="str">
        <f>Truck!$G$5</f>
        <v>Erenhot</v>
      </c>
      <c r="F322" s="226" t="str">
        <f>Truck!C25</f>
        <v>Novosibirsk（Новосибирск）</v>
      </c>
      <c r="G322" s="230">
        <f>Truck!E25</f>
        <v>7900</v>
      </c>
      <c r="H322" s="225" t="s">
        <v>56</v>
      </c>
      <c r="I322" s="226"/>
      <c r="K322" s="205"/>
      <c r="M322" s="205"/>
      <c r="N322" s="236">
        <f t="shared" si="4"/>
        <v>45772</v>
      </c>
      <c r="O322" t="str">
        <f>Truck!F25</f>
        <v>18-20</v>
      </c>
      <c r="P322" s="237" t="str">
        <f t="shared" si="5"/>
        <v>2 дня после заявки</v>
      </c>
    </row>
    <row r="323" spans="1:16">
      <c r="A323" s="205" t="s">
        <v>350</v>
      </c>
      <c r="B323" s="205" t="s">
        <v>338</v>
      </c>
      <c r="C323" s="225" t="str">
        <f t="shared" si="3"/>
        <v>22т 82м3</v>
      </c>
      <c r="D323" s="226" t="str">
        <f>Truck!H26</f>
        <v>Ningbo</v>
      </c>
      <c r="E323" s="226" t="str">
        <f>Truck!$G$5</f>
        <v>Erenhot</v>
      </c>
      <c r="F323" s="226" t="str">
        <f>Truck!C26</f>
        <v>Minsk（Минск）</v>
      </c>
      <c r="G323" s="230">
        <f>Truck!E26</f>
        <v>10200</v>
      </c>
      <c r="H323" s="225" t="s">
        <v>56</v>
      </c>
      <c r="I323" s="226"/>
      <c r="K323" s="205"/>
      <c r="M323" s="205"/>
      <c r="N323" s="236">
        <f t="shared" si="4"/>
        <v>45772</v>
      </c>
      <c r="O323" t="str">
        <f>Truck!F26</f>
        <v>18-22</v>
      </c>
      <c r="P323" s="237" t="str">
        <f t="shared" si="5"/>
        <v>2 дня после заявки</v>
      </c>
    </row>
    <row r="324" spans="1:16">
      <c r="A324" s="205" t="s">
        <v>350</v>
      </c>
      <c r="B324" s="205" t="s">
        <v>338</v>
      </c>
      <c r="C324" s="225" t="str">
        <f t="shared" si="3"/>
        <v>22т 82м3</v>
      </c>
      <c r="D324" s="226" t="str">
        <f>Truck!H27</f>
        <v>Ningbo</v>
      </c>
      <c r="E324" s="226" t="str">
        <f>Truck!$G$5</f>
        <v>Erenhot</v>
      </c>
      <c r="F324" s="226" t="str">
        <f>Truck!C27</f>
        <v>Chelyabinsk（Челябинск）</v>
      </c>
      <c r="G324" s="230">
        <f>Truck!E27</f>
        <v>8400</v>
      </c>
      <c r="H324" s="225" t="s">
        <v>56</v>
      </c>
      <c r="I324" s="226"/>
      <c r="K324" s="205"/>
      <c r="M324" s="205"/>
      <c r="N324" s="236">
        <f t="shared" si="4"/>
        <v>45772</v>
      </c>
      <c r="O324" t="str">
        <f>Truck!F27</f>
        <v>18-20</v>
      </c>
      <c r="P324" s="237" t="str">
        <f t="shared" si="5"/>
        <v>2 дня после заявки</v>
      </c>
    </row>
    <row r="325" spans="1:16">
      <c r="A325" s="205" t="s">
        <v>350</v>
      </c>
      <c r="B325" s="205" t="s">
        <v>338</v>
      </c>
      <c r="C325" s="225" t="str">
        <f t="shared" si="3"/>
        <v>22т 82м3</v>
      </c>
      <c r="D325" s="226" t="str">
        <f>Truck!H28</f>
        <v>Ningbo</v>
      </c>
      <c r="E325" s="226" t="str">
        <f>Truck!$G$5</f>
        <v>Erenhot</v>
      </c>
      <c r="F325" s="226" t="str">
        <f>Truck!C28</f>
        <v>Nizhny Novgorod(Нижний Новгород)</v>
      </c>
      <c r="G325" s="230">
        <f>Truck!E28</f>
        <v>9200</v>
      </c>
      <c r="H325" s="225" t="s">
        <v>56</v>
      </c>
      <c r="I325" s="226"/>
      <c r="K325" s="205"/>
      <c r="M325" s="205"/>
      <c r="N325" s="236">
        <f t="shared" si="4"/>
        <v>45772</v>
      </c>
      <c r="O325" t="str">
        <f>Truck!F28</f>
        <v>18-20</v>
      </c>
      <c r="P325" s="237" t="str">
        <f t="shared" si="5"/>
        <v>2 дня после заявки</v>
      </c>
    </row>
    <row r="326" spans="1:16">
      <c r="A326" s="205" t="s">
        <v>350</v>
      </c>
      <c r="B326" s="205" t="s">
        <v>338</v>
      </c>
      <c r="C326" s="225" t="str">
        <f t="shared" si="3"/>
        <v>22т 82м3</v>
      </c>
      <c r="D326" s="226" t="str">
        <f>Truck!H29</f>
        <v>Ningbo</v>
      </c>
      <c r="E326" s="226" t="str">
        <f>Truck!$G$5</f>
        <v>Erenhot</v>
      </c>
      <c r="F326" s="226" t="str">
        <f>Truck!C29</f>
        <v>Krasnoyar（Краснояр）</v>
      </c>
      <c r="G326" s="230">
        <f>Truck!E29</f>
        <v>7700</v>
      </c>
      <c r="H326" s="225" t="s">
        <v>56</v>
      </c>
      <c r="I326" s="226"/>
      <c r="K326" s="205"/>
      <c r="M326" s="205"/>
      <c r="N326" s="236">
        <f t="shared" si="4"/>
        <v>45772</v>
      </c>
      <c r="O326" t="str">
        <f>Truck!F29</f>
        <v>15-18</v>
      </c>
      <c r="P326" s="237" t="str">
        <f t="shared" si="5"/>
        <v>2 дня после заявки</v>
      </c>
    </row>
    <row r="327" spans="1:16">
      <c r="A327" s="205" t="s">
        <v>350</v>
      </c>
      <c r="B327" s="205" t="s">
        <v>338</v>
      </c>
      <c r="C327" s="225" t="str">
        <f t="shared" si="3"/>
        <v>22т 82м3</v>
      </c>
      <c r="D327" s="226" t="str">
        <f>Truck!H30</f>
        <v>Ningbo</v>
      </c>
      <c r="E327" s="226" t="str">
        <f>Truck!$G$5</f>
        <v>Erenhot</v>
      </c>
      <c r="F327" s="226" t="str">
        <f>Truck!C30</f>
        <v>Irkutsk（Иркутск）</v>
      </c>
      <c r="G327" s="230">
        <f>Truck!E30</f>
        <v>7200</v>
      </c>
      <c r="H327" s="225" t="s">
        <v>56</v>
      </c>
      <c r="I327" s="226"/>
      <c r="K327" s="205"/>
      <c r="M327" s="205"/>
      <c r="N327" s="236">
        <f t="shared" si="4"/>
        <v>45772</v>
      </c>
      <c r="O327" t="str">
        <f>Truck!F30</f>
        <v>15-18</v>
      </c>
      <c r="P327" s="237" t="str">
        <f t="shared" si="5"/>
        <v>2 дня после заявки</v>
      </c>
    </row>
    <row r="328" spans="1:16">
      <c r="A328" s="205" t="s">
        <v>350</v>
      </c>
      <c r="B328" s="205" t="s">
        <v>338</v>
      </c>
      <c r="C328" s="225" t="str">
        <f t="shared" si="3"/>
        <v>22т 82м3</v>
      </c>
      <c r="D328" s="226" t="str">
        <f>Truck!H31</f>
        <v>Ningbo</v>
      </c>
      <c r="E328" s="226" t="str">
        <f>Truck!$G$5</f>
        <v>Erenhot</v>
      </c>
      <c r="F328" s="226" t="str">
        <f>Truck!C31</f>
        <v>Novokuznetsk（Новокузнецк）</v>
      </c>
      <c r="G328" s="230">
        <f>Truck!E31</f>
        <v>7900</v>
      </c>
      <c r="H328" s="225" t="s">
        <v>56</v>
      </c>
      <c r="I328" s="226"/>
      <c r="K328" s="205"/>
      <c r="M328" s="205"/>
      <c r="N328" s="236">
        <f t="shared" si="4"/>
        <v>45772</v>
      </c>
      <c r="O328" t="str">
        <f>Truck!F31</f>
        <v>15-18</v>
      </c>
      <c r="P328" s="237" t="str">
        <f t="shared" si="5"/>
        <v>2 дня после заявки</v>
      </c>
    </row>
    <row r="329" spans="1:16">
      <c r="A329" s="205" t="s">
        <v>350</v>
      </c>
      <c r="B329" s="205" t="s">
        <v>338</v>
      </c>
      <c r="C329" s="225" t="str">
        <f t="shared" si="3"/>
        <v>22т 82м3</v>
      </c>
      <c r="D329" s="226" t="str">
        <f>Truck!H32</f>
        <v>Shanghai</v>
      </c>
      <c r="E329" s="226" t="str">
        <f>Truck!$G$5</f>
        <v>Erenhot</v>
      </c>
      <c r="F329" s="226" t="str">
        <f>Truck!C32</f>
        <v>Moscow（Москва）</v>
      </c>
      <c r="G329" s="230">
        <f>Truck!E32</f>
        <v>9400</v>
      </c>
      <c r="H329" s="225" t="s">
        <v>56</v>
      </c>
      <c r="I329" s="226"/>
      <c r="K329" s="205"/>
      <c r="M329" s="205"/>
      <c r="N329" s="236">
        <f t="shared" si="4"/>
        <v>45772</v>
      </c>
      <c r="O329" t="str">
        <f>Truck!F32</f>
        <v>18-20</v>
      </c>
      <c r="P329" s="237" t="str">
        <f t="shared" si="5"/>
        <v>2 дня после заявки</v>
      </c>
    </row>
    <row r="330" spans="1:16">
      <c r="A330" s="205" t="s">
        <v>350</v>
      </c>
      <c r="B330" s="205" t="s">
        <v>338</v>
      </c>
      <c r="C330" s="225" t="str">
        <f t="shared" si="3"/>
        <v>22т 82м3</v>
      </c>
      <c r="D330" s="226" t="str">
        <f>Truck!H33</f>
        <v>Shanghai</v>
      </c>
      <c r="E330" s="226" t="str">
        <f>Truck!$G$5</f>
        <v>Erenhot</v>
      </c>
      <c r="F330" s="226" t="str">
        <f>Truck!C33</f>
        <v>St. Petersburg（Санкт-Петербург）</v>
      </c>
      <c r="G330" s="230">
        <f>Truck!E33</f>
        <v>9700</v>
      </c>
      <c r="H330" s="225" t="s">
        <v>56</v>
      </c>
      <c r="I330" s="226"/>
      <c r="K330" s="205"/>
      <c r="M330" s="205"/>
      <c r="N330" s="236">
        <f t="shared" si="4"/>
        <v>45772</v>
      </c>
      <c r="O330" t="str">
        <f>Truck!F33</f>
        <v>18-20</v>
      </c>
      <c r="P330" s="237" t="str">
        <f t="shared" si="5"/>
        <v>2 дня после заявки</v>
      </c>
    </row>
    <row r="331" spans="1:16">
      <c r="A331" s="205" t="s">
        <v>350</v>
      </c>
      <c r="B331" s="205" t="s">
        <v>338</v>
      </c>
      <c r="C331" s="225" t="str">
        <f t="shared" si="3"/>
        <v>22т 82м3</v>
      </c>
      <c r="D331" s="226" t="str">
        <f>Truck!H34</f>
        <v>Shanghai</v>
      </c>
      <c r="E331" s="226" t="str">
        <f>Truck!$G$5</f>
        <v>Erenhot</v>
      </c>
      <c r="F331" s="226" t="str">
        <f>Truck!C34</f>
        <v>Novosibirsk（Новосибирск）</v>
      </c>
      <c r="G331" s="230">
        <f>Truck!E34</f>
        <v>7800</v>
      </c>
      <c r="H331" s="225" t="s">
        <v>56</v>
      </c>
      <c r="I331" s="226"/>
      <c r="K331" s="205"/>
      <c r="M331" s="205"/>
      <c r="N331" s="236">
        <f t="shared" si="4"/>
        <v>45772</v>
      </c>
      <c r="O331" t="str">
        <f>Truck!F34</f>
        <v>18-20</v>
      </c>
      <c r="P331" s="237" t="str">
        <f t="shared" si="5"/>
        <v>2 дня после заявки</v>
      </c>
    </row>
    <row r="332" spans="1:16">
      <c r="A332" s="205" t="s">
        <v>350</v>
      </c>
      <c r="B332" s="205" t="s">
        <v>338</v>
      </c>
      <c r="C332" s="225" t="str">
        <f t="shared" si="3"/>
        <v>22т 82м3</v>
      </c>
      <c r="D332" s="226" t="str">
        <f>Truck!H35</f>
        <v>Shanghai</v>
      </c>
      <c r="E332" s="226" t="str">
        <f>Truck!$G$5</f>
        <v>Erenhot</v>
      </c>
      <c r="F332" s="226" t="str">
        <f>Truck!C35</f>
        <v>Minsk（Минск）</v>
      </c>
      <c r="G332" s="230">
        <f>Truck!E35</f>
        <v>10100</v>
      </c>
      <c r="H332" s="225" t="s">
        <v>56</v>
      </c>
      <c r="I332" s="226"/>
      <c r="K332" s="205"/>
      <c r="M332" s="205"/>
      <c r="N332" s="236">
        <f t="shared" si="4"/>
        <v>45772</v>
      </c>
      <c r="O332" t="str">
        <f>Truck!F35</f>
        <v>18-22</v>
      </c>
      <c r="P332" s="237" t="str">
        <f t="shared" si="5"/>
        <v>2 дня после заявки</v>
      </c>
    </row>
    <row r="333" spans="1:16">
      <c r="A333" s="205" t="s">
        <v>350</v>
      </c>
      <c r="B333" s="205" t="s">
        <v>338</v>
      </c>
      <c r="C333" s="225" t="str">
        <f t="shared" si="3"/>
        <v>22т 82м3</v>
      </c>
      <c r="D333" s="226" t="str">
        <f>Truck!H36</f>
        <v>Shanghai</v>
      </c>
      <c r="E333" s="226" t="str">
        <f>Truck!$G$5</f>
        <v>Erenhot</v>
      </c>
      <c r="F333" s="226" t="str">
        <f>Truck!C36</f>
        <v>Chelyabinsk（Челябинск）</v>
      </c>
      <c r="G333" s="230">
        <f>Truck!E36</f>
        <v>8300</v>
      </c>
      <c r="H333" s="225" t="s">
        <v>56</v>
      </c>
      <c r="I333" s="226"/>
      <c r="K333" s="205"/>
      <c r="M333" s="205"/>
      <c r="N333" s="236">
        <f t="shared" si="4"/>
        <v>45772</v>
      </c>
      <c r="O333" t="str">
        <f>Truck!F36</f>
        <v>18-20</v>
      </c>
      <c r="P333" s="237" t="str">
        <f t="shared" si="5"/>
        <v>2 дня после заявки</v>
      </c>
    </row>
    <row r="334" spans="1:16">
      <c r="A334" s="205" t="s">
        <v>350</v>
      </c>
      <c r="B334" s="205" t="s">
        <v>338</v>
      </c>
      <c r="C334" s="225" t="str">
        <f t="shared" si="3"/>
        <v>22т 82м3</v>
      </c>
      <c r="D334" s="226" t="str">
        <f>Truck!H37</f>
        <v>Shanghai</v>
      </c>
      <c r="E334" s="226" t="str">
        <f>Truck!$G$5</f>
        <v>Erenhot</v>
      </c>
      <c r="F334" s="226" t="str">
        <f>Truck!C37</f>
        <v>Nizhny Novgorod(Нижний Новгород)</v>
      </c>
      <c r="G334" s="230">
        <f>Truck!E37</f>
        <v>9100</v>
      </c>
      <c r="H334" s="225" t="s">
        <v>56</v>
      </c>
      <c r="I334" s="226"/>
      <c r="K334" s="205"/>
      <c r="M334" s="205"/>
      <c r="N334" s="236">
        <f t="shared" si="4"/>
        <v>45772</v>
      </c>
      <c r="O334" t="str">
        <f>Truck!F37</f>
        <v>18-20</v>
      </c>
      <c r="P334" s="237" t="str">
        <f t="shared" si="5"/>
        <v>2 дня после заявки</v>
      </c>
    </row>
    <row r="335" spans="1:16">
      <c r="A335" s="205" t="s">
        <v>350</v>
      </c>
      <c r="B335" s="205" t="s">
        <v>338</v>
      </c>
      <c r="C335" s="225" t="str">
        <f t="shared" si="3"/>
        <v>22т 82м3</v>
      </c>
      <c r="D335" s="226" t="str">
        <f>Truck!H38</f>
        <v>Shanghai</v>
      </c>
      <c r="E335" s="226" t="str">
        <f>Truck!$G$5</f>
        <v>Erenhot</v>
      </c>
      <c r="F335" s="226" t="str">
        <f>Truck!C38</f>
        <v>Krasnoyar（Краснояр）</v>
      </c>
      <c r="G335" s="230">
        <f>Truck!E38</f>
        <v>7600</v>
      </c>
      <c r="H335" s="225" t="s">
        <v>56</v>
      </c>
      <c r="I335" s="226"/>
      <c r="K335" s="205"/>
      <c r="M335" s="205"/>
      <c r="N335" s="236">
        <f t="shared" si="4"/>
        <v>45772</v>
      </c>
      <c r="O335" t="str">
        <f>Truck!F38</f>
        <v>15-18</v>
      </c>
      <c r="P335" s="237" t="str">
        <f t="shared" si="5"/>
        <v>2 дня после заявки</v>
      </c>
    </row>
    <row r="336" spans="1:16">
      <c r="A336" s="205" t="s">
        <v>350</v>
      </c>
      <c r="B336" s="205" t="s">
        <v>338</v>
      </c>
      <c r="C336" s="225" t="str">
        <f t="shared" si="3"/>
        <v>22т 82м3</v>
      </c>
      <c r="D336" s="226" t="str">
        <f>Truck!H39</f>
        <v>Shanghai</v>
      </c>
      <c r="E336" s="226" t="str">
        <f>Truck!$G$5</f>
        <v>Erenhot</v>
      </c>
      <c r="F336" s="226" t="str">
        <f>Truck!C39</f>
        <v>Irkutsk（Иркутск）</v>
      </c>
      <c r="G336" s="230">
        <f>Truck!E39</f>
        <v>7100</v>
      </c>
      <c r="H336" s="225" t="s">
        <v>56</v>
      </c>
      <c r="I336" s="226"/>
      <c r="K336" s="205"/>
      <c r="M336" s="205"/>
      <c r="N336" s="236">
        <f t="shared" si="4"/>
        <v>45772</v>
      </c>
      <c r="O336" t="str">
        <f>Truck!F39</f>
        <v>15-18</v>
      </c>
      <c r="P336" s="237" t="str">
        <f t="shared" si="5"/>
        <v>2 дня после заявки</v>
      </c>
    </row>
    <row r="337" spans="1:16">
      <c r="A337" s="205" t="s">
        <v>350</v>
      </c>
      <c r="B337" s="205" t="s">
        <v>338</v>
      </c>
      <c r="C337" s="225" t="str">
        <f t="shared" si="3"/>
        <v>22т 82м3</v>
      </c>
      <c r="D337" s="226" t="str">
        <f>Truck!H40</f>
        <v>Shanghai</v>
      </c>
      <c r="E337" s="226" t="str">
        <f>Truck!$G$5</f>
        <v>Erenhot</v>
      </c>
      <c r="F337" s="226" t="str">
        <f>Truck!C40</f>
        <v>Novokuznetsk（Новокузнецк）</v>
      </c>
      <c r="G337" s="230">
        <f>Truck!E40</f>
        <v>7800</v>
      </c>
      <c r="H337" s="225" t="s">
        <v>56</v>
      </c>
      <c r="I337" s="226"/>
      <c r="K337" s="205"/>
      <c r="M337" s="205"/>
      <c r="N337" s="236">
        <f t="shared" si="4"/>
        <v>45772</v>
      </c>
      <c r="O337" t="str">
        <f>Truck!F40</f>
        <v>15-18</v>
      </c>
      <c r="P337" s="237" t="str">
        <f t="shared" si="5"/>
        <v>2 дня после заявки</v>
      </c>
    </row>
    <row r="338" spans="1:16">
      <c r="A338" s="205" t="s">
        <v>350</v>
      </c>
      <c r="B338" s="205" t="s">
        <v>338</v>
      </c>
      <c r="C338" s="225" t="str">
        <f t="shared" si="3"/>
        <v>22т 82м3</v>
      </c>
      <c r="D338" s="226" t="str">
        <f>Truck!H41</f>
        <v>Qingdao</v>
      </c>
      <c r="E338" s="226" t="str">
        <f>Truck!$G$5</f>
        <v>Erenhot</v>
      </c>
      <c r="F338" s="226" t="str">
        <f>Truck!C41</f>
        <v>Moscow（Москва）</v>
      </c>
      <c r="G338" s="230">
        <f>Truck!E41</f>
        <v>9000</v>
      </c>
      <c r="H338" s="225" t="s">
        <v>56</v>
      </c>
      <c r="I338" s="226"/>
      <c r="K338" s="205"/>
      <c r="M338" s="205"/>
      <c r="N338" s="236">
        <f t="shared" si="4"/>
        <v>45772</v>
      </c>
      <c r="O338" t="str">
        <f>Truck!F41</f>
        <v>18-20</v>
      </c>
      <c r="P338" s="237" t="str">
        <f t="shared" si="5"/>
        <v>2 дня после заявки</v>
      </c>
    </row>
    <row r="339" spans="1:16">
      <c r="A339" s="205" t="s">
        <v>350</v>
      </c>
      <c r="B339" s="205" t="s">
        <v>338</v>
      </c>
      <c r="C339" s="225" t="str">
        <f t="shared" si="3"/>
        <v>22т 82м3</v>
      </c>
      <c r="D339" s="226" t="str">
        <f>Truck!H42</f>
        <v>Qingdao</v>
      </c>
      <c r="E339" s="226" t="str">
        <f>Truck!$G$5</f>
        <v>Erenhot</v>
      </c>
      <c r="F339" s="226" t="str">
        <f>Truck!C42</f>
        <v>St. Petersburg（Санкт-Петербург）</v>
      </c>
      <c r="G339" s="230">
        <f>Truck!E42</f>
        <v>9300</v>
      </c>
      <c r="H339" s="225" t="s">
        <v>56</v>
      </c>
      <c r="I339" s="226"/>
      <c r="K339" s="205"/>
      <c r="M339" s="205"/>
      <c r="N339" s="236">
        <f t="shared" si="4"/>
        <v>45772</v>
      </c>
      <c r="O339" t="str">
        <f>Truck!F42</f>
        <v>18-22</v>
      </c>
      <c r="P339" s="237" t="str">
        <f t="shared" si="5"/>
        <v>2 дня после заявки</v>
      </c>
    </row>
    <row r="340" spans="1:16">
      <c r="A340" s="205" t="s">
        <v>350</v>
      </c>
      <c r="B340" s="205" t="s">
        <v>338</v>
      </c>
      <c r="C340" s="225" t="str">
        <f t="shared" si="3"/>
        <v>22т 82м3</v>
      </c>
      <c r="D340" s="226" t="str">
        <f>Truck!H43</f>
        <v>Qingdao</v>
      </c>
      <c r="E340" s="226" t="str">
        <f>Truck!$G$5</f>
        <v>Erenhot</v>
      </c>
      <c r="F340" s="226" t="str">
        <f>Truck!C43</f>
        <v>Novosibirsk（Новосибирск）</v>
      </c>
      <c r="G340" s="230">
        <f>Truck!E43</f>
        <v>7400</v>
      </c>
      <c r="H340" s="225" t="s">
        <v>56</v>
      </c>
      <c r="I340" s="226"/>
      <c r="K340" s="205"/>
      <c r="M340" s="205"/>
      <c r="N340" s="236">
        <f t="shared" si="4"/>
        <v>45772</v>
      </c>
      <c r="O340" t="str">
        <f>Truck!F43</f>
        <v>18-20</v>
      </c>
      <c r="P340" s="237" t="str">
        <f t="shared" si="5"/>
        <v>2 дня после заявки</v>
      </c>
    </row>
    <row r="341" spans="1:16">
      <c r="A341" s="205" t="s">
        <v>350</v>
      </c>
      <c r="B341" s="205" t="s">
        <v>338</v>
      </c>
      <c r="C341" s="225" t="str">
        <f t="shared" si="3"/>
        <v>22т 82м3</v>
      </c>
      <c r="D341" s="226" t="str">
        <f>Truck!H44</f>
        <v>Qingdao</v>
      </c>
      <c r="E341" s="226" t="str">
        <f>Truck!$G$5</f>
        <v>Erenhot</v>
      </c>
      <c r="F341" s="226" t="str">
        <f>Truck!C44</f>
        <v>Minsk（Минск）</v>
      </c>
      <c r="G341" s="230">
        <f>Truck!E44</f>
        <v>9700</v>
      </c>
      <c r="H341" s="225" t="s">
        <v>56</v>
      </c>
      <c r="I341" s="226"/>
      <c r="K341" s="205"/>
      <c r="M341" s="205"/>
      <c r="N341" s="236">
        <f t="shared" si="4"/>
        <v>45772</v>
      </c>
      <c r="O341" t="str">
        <f>Truck!F44</f>
        <v>18-22</v>
      </c>
      <c r="P341" s="237" t="str">
        <f t="shared" si="5"/>
        <v>2 дня после заявки</v>
      </c>
    </row>
    <row r="342" spans="1:16">
      <c r="A342" s="205" t="s">
        <v>350</v>
      </c>
      <c r="B342" s="205" t="s">
        <v>338</v>
      </c>
      <c r="C342" s="225" t="str">
        <f t="shared" si="3"/>
        <v>22т 82м3</v>
      </c>
      <c r="D342" s="226" t="str">
        <f>Truck!H45</f>
        <v>Qingdao</v>
      </c>
      <c r="E342" s="226" t="str">
        <f>Truck!$G$5</f>
        <v>Erenhot</v>
      </c>
      <c r="F342" s="226" t="str">
        <f>Truck!C45</f>
        <v>Chelyabinsk（Челябинск）</v>
      </c>
      <c r="G342" s="230">
        <f>Truck!E45</f>
        <v>7900</v>
      </c>
      <c r="H342" s="225" t="s">
        <v>56</v>
      </c>
      <c r="I342" s="226"/>
      <c r="K342" s="205"/>
      <c r="M342" s="205"/>
      <c r="N342" s="236">
        <f t="shared" si="4"/>
        <v>45772</v>
      </c>
      <c r="O342" t="str">
        <f>Truck!F45</f>
        <v>18-20</v>
      </c>
      <c r="P342" s="237" t="str">
        <f t="shared" si="5"/>
        <v>2 дня после заявки</v>
      </c>
    </row>
    <row r="343" spans="1:16">
      <c r="A343" s="205" t="s">
        <v>350</v>
      </c>
      <c r="B343" s="205" t="s">
        <v>338</v>
      </c>
      <c r="C343" s="225" t="str">
        <f t="shared" si="3"/>
        <v>22т 82м3</v>
      </c>
      <c r="D343" s="226" t="str">
        <f>Truck!H46</f>
        <v>Qingdao</v>
      </c>
      <c r="E343" s="226" t="str">
        <f>Truck!$G$5</f>
        <v>Erenhot</v>
      </c>
      <c r="F343" s="226" t="str">
        <f>Truck!C46</f>
        <v>Nizhny Novgorod(Нижний Новгород)</v>
      </c>
      <c r="G343" s="230">
        <f>Truck!E46</f>
        <v>8700</v>
      </c>
      <c r="H343" s="225" t="s">
        <v>56</v>
      </c>
      <c r="I343" s="226"/>
      <c r="K343" s="205"/>
      <c r="M343" s="205"/>
      <c r="N343" s="236">
        <f t="shared" si="4"/>
        <v>45772</v>
      </c>
      <c r="O343" t="str">
        <f>Truck!F46</f>
        <v>18-20</v>
      </c>
      <c r="P343" s="237" t="str">
        <f t="shared" si="5"/>
        <v>2 дня после заявки</v>
      </c>
    </row>
    <row r="344" spans="1:16">
      <c r="A344" s="205" t="s">
        <v>350</v>
      </c>
      <c r="B344" s="205" t="s">
        <v>338</v>
      </c>
      <c r="C344" s="225" t="str">
        <f t="shared" si="3"/>
        <v>22т 82м3</v>
      </c>
      <c r="D344" s="226" t="str">
        <f>Truck!H47</f>
        <v>Qingdao</v>
      </c>
      <c r="E344" s="226" t="str">
        <f>Truck!$G$5</f>
        <v>Erenhot</v>
      </c>
      <c r="F344" s="226" t="str">
        <f>Truck!C47</f>
        <v>Krasnoyar（Краснояр）</v>
      </c>
      <c r="G344" s="230">
        <f>Truck!E47</f>
        <v>7200</v>
      </c>
      <c r="H344" s="225" t="s">
        <v>56</v>
      </c>
      <c r="I344" s="226"/>
      <c r="K344" s="205"/>
      <c r="M344" s="205"/>
      <c r="N344" s="236">
        <f t="shared" si="4"/>
        <v>45772</v>
      </c>
      <c r="O344" t="str">
        <f>Truck!F47</f>
        <v>15-18</v>
      </c>
      <c r="P344" s="237" t="str">
        <f t="shared" si="5"/>
        <v>2 дня после заявки</v>
      </c>
    </row>
    <row r="345" spans="1:16">
      <c r="A345" s="205" t="s">
        <v>350</v>
      </c>
      <c r="B345" s="205" t="s">
        <v>338</v>
      </c>
      <c r="C345" s="225" t="str">
        <f t="shared" si="3"/>
        <v>22т 82м3</v>
      </c>
      <c r="D345" s="226" t="str">
        <f>Truck!H48</f>
        <v>Qingdao</v>
      </c>
      <c r="E345" s="226" t="str">
        <f>Truck!$G$5</f>
        <v>Erenhot</v>
      </c>
      <c r="F345" s="226" t="str">
        <f>Truck!C48</f>
        <v>Irkutsk（Иркутск）</v>
      </c>
      <c r="G345" s="230">
        <f>Truck!E48</f>
        <v>6700</v>
      </c>
      <c r="H345" s="225" t="s">
        <v>56</v>
      </c>
      <c r="I345" s="226"/>
      <c r="K345" s="205"/>
      <c r="M345" s="205"/>
      <c r="N345" s="236">
        <f t="shared" si="4"/>
        <v>45772</v>
      </c>
      <c r="O345" t="str">
        <f>Truck!F48</f>
        <v>15-18</v>
      </c>
      <c r="P345" s="237" t="str">
        <f t="shared" si="5"/>
        <v>2 дня после заявки</v>
      </c>
    </row>
    <row r="346" spans="1:16">
      <c r="A346" s="205" t="s">
        <v>350</v>
      </c>
      <c r="B346" s="205" t="s">
        <v>338</v>
      </c>
      <c r="C346" s="225" t="str">
        <f t="shared" si="3"/>
        <v>22т 82м3</v>
      </c>
      <c r="D346" s="226" t="str">
        <f>Truck!H49</f>
        <v>Qingdao</v>
      </c>
      <c r="E346" s="226" t="str">
        <f>Truck!$G$5</f>
        <v>Erenhot</v>
      </c>
      <c r="F346" s="226" t="str">
        <f>Truck!C49</f>
        <v>Novokuznetsk（Новокузнецк）</v>
      </c>
      <c r="G346" s="230">
        <f>Truck!E49</f>
        <v>7400</v>
      </c>
      <c r="H346" s="225" t="s">
        <v>56</v>
      </c>
      <c r="I346" s="226"/>
      <c r="K346" s="205"/>
      <c r="M346" s="205"/>
      <c r="N346" s="236">
        <f t="shared" si="4"/>
        <v>45772</v>
      </c>
      <c r="O346" t="str">
        <f>Truck!F49</f>
        <v>15-18</v>
      </c>
      <c r="P346" s="237" t="str">
        <f t="shared" si="5"/>
        <v>2 дня после заявки</v>
      </c>
    </row>
    <row r="347" spans="1:16">
      <c r="A347" s="205" t="s">
        <v>350</v>
      </c>
      <c r="B347" s="205" t="s">
        <v>338</v>
      </c>
      <c r="C347" s="225" t="str">
        <f t="shared" si="3"/>
        <v>22т 82м3</v>
      </c>
      <c r="D347" s="226" t="str">
        <f>Truck!H50</f>
        <v>Tianjin</v>
      </c>
      <c r="E347" s="226" t="str">
        <f>Truck!$G$5</f>
        <v>Erenhot</v>
      </c>
      <c r="F347" s="226" t="str">
        <f>Truck!C50</f>
        <v>Moscow（Москва）</v>
      </c>
      <c r="G347" s="230">
        <f>Truck!E50</f>
        <v>8700</v>
      </c>
      <c r="H347" s="225" t="s">
        <v>56</v>
      </c>
      <c r="I347" s="226"/>
      <c r="K347" s="205"/>
      <c r="M347" s="205"/>
      <c r="N347" s="236">
        <f t="shared" si="4"/>
        <v>45772</v>
      </c>
      <c r="O347" t="str">
        <f>Truck!F50</f>
        <v>18-20</v>
      </c>
      <c r="P347" s="237" t="str">
        <f t="shared" si="5"/>
        <v>2 дня после заявки</v>
      </c>
    </row>
    <row r="348" spans="1:16">
      <c r="A348" s="205" t="s">
        <v>350</v>
      </c>
      <c r="B348" s="205" t="s">
        <v>338</v>
      </c>
      <c r="C348" s="225" t="str">
        <f t="shared" si="3"/>
        <v>22т 82м3</v>
      </c>
      <c r="D348" s="226" t="str">
        <f>Truck!H51</f>
        <v>Tianjin</v>
      </c>
      <c r="E348" s="226" t="str">
        <f>Truck!$G$5</f>
        <v>Erenhot</v>
      </c>
      <c r="F348" s="226" t="str">
        <f>Truck!C51</f>
        <v>St. Petersburg（Санкт-Петербург）</v>
      </c>
      <c r="G348" s="230">
        <f>Truck!E51</f>
        <v>9000</v>
      </c>
      <c r="H348" s="225" t="s">
        <v>56</v>
      </c>
      <c r="I348" s="226"/>
      <c r="K348" s="205"/>
      <c r="M348" s="205"/>
      <c r="N348" s="236">
        <f t="shared" si="4"/>
        <v>45772</v>
      </c>
      <c r="O348" t="str">
        <f>Truck!F51</f>
        <v>18-20</v>
      </c>
      <c r="P348" s="237" t="str">
        <f t="shared" si="5"/>
        <v>2 дня после заявки</v>
      </c>
    </row>
    <row r="349" spans="1:16">
      <c r="A349" s="205" t="s">
        <v>350</v>
      </c>
      <c r="B349" s="205" t="s">
        <v>338</v>
      </c>
      <c r="C349" s="225" t="str">
        <f t="shared" si="3"/>
        <v>22т 82м3</v>
      </c>
      <c r="D349" s="226" t="str">
        <f>Truck!H52</f>
        <v>Tianjin</v>
      </c>
      <c r="E349" s="226" t="str">
        <f>Truck!$G$5</f>
        <v>Erenhot</v>
      </c>
      <c r="F349" s="226" t="str">
        <f>Truck!C52</f>
        <v>Novosibirsk（Новосибирск）</v>
      </c>
      <c r="G349" s="230">
        <f>Truck!E52</f>
        <v>7100</v>
      </c>
      <c r="H349" s="225" t="s">
        <v>56</v>
      </c>
      <c r="I349" s="226"/>
      <c r="K349" s="205"/>
      <c r="M349" s="205"/>
      <c r="N349" s="236">
        <f t="shared" si="4"/>
        <v>45772</v>
      </c>
      <c r="O349" t="str">
        <f>Truck!F52</f>
        <v>18-20</v>
      </c>
      <c r="P349" s="237" t="str">
        <f t="shared" si="5"/>
        <v>2 дня после заявки</v>
      </c>
    </row>
    <row r="350" spans="1:16">
      <c r="A350" s="205" t="s">
        <v>350</v>
      </c>
      <c r="B350" s="205" t="s">
        <v>338</v>
      </c>
      <c r="C350" s="225" t="str">
        <f t="shared" si="3"/>
        <v>22т 82м3</v>
      </c>
      <c r="D350" s="226" t="str">
        <f>Truck!H53</f>
        <v>Tianjin</v>
      </c>
      <c r="E350" s="226" t="str">
        <f>Truck!$G$5</f>
        <v>Erenhot</v>
      </c>
      <c r="F350" s="226" t="str">
        <f>Truck!C53</f>
        <v>Minsk（Минск）</v>
      </c>
      <c r="G350" s="230">
        <f>Truck!E53</f>
        <v>9400</v>
      </c>
      <c r="H350" s="225" t="s">
        <v>56</v>
      </c>
      <c r="I350" s="226"/>
      <c r="K350" s="205"/>
      <c r="M350" s="205"/>
      <c r="N350" s="236">
        <f t="shared" si="4"/>
        <v>45772</v>
      </c>
      <c r="O350" t="str">
        <f>Truck!F53</f>
        <v>18-22</v>
      </c>
      <c r="P350" s="237" t="str">
        <f t="shared" si="5"/>
        <v>2 дня после заявки</v>
      </c>
    </row>
    <row r="351" spans="1:16">
      <c r="A351" s="205" t="s">
        <v>350</v>
      </c>
      <c r="B351" s="205" t="s">
        <v>338</v>
      </c>
      <c r="C351" s="225" t="str">
        <f t="shared" si="3"/>
        <v>22т 82м3</v>
      </c>
      <c r="D351" s="226" t="str">
        <f>Truck!H54</f>
        <v>Tianjin</v>
      </c>
      <c r="E351" s="226" t="str">
        <f>Truck!$G$5</f>
        <v>Erenhot</v>
      </c>
      <c r="F351" s="226" t="str">
        <f>Truck!C54</f>
        <v>Chelyabinsk（Челябинск）</v>
      </c>
      <c r="G351" s="230">
        <f>Truck!E54</f>
        <v>7600</v>
      </c>
      <c r="H351" s="225" t="s">
        <v>56</v>
      </c>
      <c r="I351" s="226"/>
      <c r="K351" s="205"/>
      <c r="M351" s="205"/>
      <c r="N351" s="236">
        <f t="shared" si="4"/>
        <v>45772</v>
      </c>
      <c r="O351" t="str">
        <f>Truck!F54</f>
        <v>18-20</v>
      </c>
      <c r="P351" s="237" t="str">
        <f t="shared" si="5"/>
        <v>2 дня после заявки</v>
      </c>
    </row>
    <row r="352" spans="1:16">
      <c r="A352" s="205" t="s">
        <v>350</v>
      </c>
      <c r="B352" s="205" t="s">
        <v>338</v>
      </c>
      <c r="C352" s="225" t="str">
        <f t="shared" si="3"/>
        <v>22т 82м3</v>
      </c>
      <c r="D352" s="226" t="str">
        <f>Truck!H55</f>
        <v>Tianjin</v>
      </c>
      <c r="E352" s="226" t="str">
        <f>Truck!$G$5</f>
        <v>Erenhot</v>
      </c>
      <c r="F352" s="226" t="str">
        <f>Truck!C55</f>
        <v>Nizhny Novgorod(Нижний Новгород)</v>
      </c>
      <c r="G352" s="230">
        <f>Truck!E55</f>
        <v>8400</v>
      </c>
      <c r="H352" s="225" t="s">
        <v>56</v>
      </c>
      <c r="I352" s="226"/>
      <c r="K352" s="205"/>
      <c r="M352" s="205"/>
      <c r="N352" s="236">
        <f t="shared" si="4"/>
        <v>45772</v>
      </c>
      <c r="O352" t="str">
        <f>Truck!F55</f>
        <v>18-20</v>
      </c>
      <c r="P352" s="237" t="str">
        <f t="shared" si="5"/>
        <v>2 дня после заявки</v>
      </c>
    </row>
    <row r="353" spans="1:16">
      <c r="A353" s="205" t="s">
        <v>350</v>
      </c>
      <c r="B353" s="205" t="s">
        <v>338</v>
      </c>
      <c r="C353" s="225" t="str">
        <f t="shared" si="3"/>
        <v>22т 82м3</v>
      </c>
      <c r="D353" s="226" t="str">
        <f>Truck!H56</f>
        <v>Tianjin</v>
      </c>
      <c r="E353" s="226" t="str">
        <f>Truck!$G$5</f>
        <v>Erenhot</v>
      </c>
      <c r="F353" s="226" t="str">
        <f>Truck!C56</f>
        <v>Krasnoyar（Краснояр）</v>
      </c>
      <c r="G353" s="230">
        <f>Truck!E56</f>
        <v>6900</v>
      </c>
      <c r="H353" s="225" t="s">
        <v>56</v>
      </c>
      <c r="I353" s="226"/>
      <c r="K353" s="205"/>
      <c r="M353" s="205"/>
      <c r="N353" s="236">
        <f t="shared" si="4"/>
        <v>45772</v>
      </c>
      <c r="O353" t="str">
        <f>Truck!F56</f>
        <v>15-18</v>
      </c>
      <c r="P353" s="237" t="str">
        <f t="shared" si="5"/>
        <v>2 дня после заявки</v>
      </c>
    </row>
    <row r="354" spans="1:16">
      <c r="A354" s="205" t="s">
        <v>350</v>
      </c>
      <c r="B354" s="205" t="s">
        <v>338</v>
      </c>
      <c r="C354" s="225" t="str">
        <f t="shared" si="3"/>
        <v>22т 82м3</v>
      </c>
      <c r="D354" s="226" t="str">
        <f>Truck!H57</f>
        <v>Tianjin</v>
      </c>
      <c r="E354" s="226" t="str">
        <f>Truck!$G$5</f>
        <v>Erenhot</v>
      </c>
      <c r="F354" s="226" t="str">
        <f>Truck!C57</f>
        <v>Irkutsk（Иркутск）</v>
      </c>
      <c r="G354" s="230">
        <f>Truck!E57</f>
        <v>6400</v>
      </c>
      <c r="H354" s="225" t="s">
        <v>56</v>
      </c>
      <c r="I354" s="226"/>
      <c r="K354" s="205"/>
      <c r="M354" s="205"/>
      <c r="N354" s="236">
        <f t="shared" si="4"/>
        <v>45772</v>
      </c>
      <c r="O354" t="str">
        <f>Truck!F57</f>
        <v>15-18</v>
      </c>
      <c r="P354" s="237" t="str">
        <f t="shared" si="5"/>
        <v>2 дня после заявки</v>
      </c>
    </row>
    <row r="355" spans="1:16">
      <c r="A355" s="205" t="s">
        <v>350</v>
      </c>
      <c r="B355" s="205" t="s">
        <v>338</v>
      </c>
      <c r="C355" s="225" t="str">
        <f t="shared" si="3"/>
        <v>22т 82м3</v>
      </c>
      <c r="D355" s="226" t="str">
        <f>Truck!H58</f>
        <v>Tianjin</v>
      </c>
      <c r="E355" s="226" t="str">
        <f>Truck!$G$5</f>
        <v>Erenhot</v>
      </c>
      <c r="F355" s="226" t="str">
        <f>Truck!C58</f>
        <v>Novokuznetsk（Новокузнецк）</v>
      </c>
      <c r="G355" s="230">
        <f>Truck!E58</f>
        <v>7100</v>
      </c>
      <c r="H355" s="225" t="s">
        <v>56</v>
      </c>
      <c r="I355" s="226"/>
      <c r="K355" s="205"/>
      <c r="M355" s="205"/>
      <c r="N355" s="236">
        <f t="shared" si="4"/>
        <v>45772</v>
      </c>
      <c r="O355" t="str">
        <f>Truck!F58</f>
        <v>15-18</v>
      </c>
      <c r="P355" s="237" t="str">
        <f t="shared" si="5"/>
        <v>2 дня после заявки</v>
      </c>
    </row>
    <row r="356" spans="1:16">
      <c r="A356" s="205" t="s">
        <v>350</v>
      </c>
      <c r="B356" s="205" t="s">
        <v>338</v>
      </c>
      <c r="C356" s="225" t="str">
        <f t="shared" si="3"/>
        <v>22т 82м3</v>
      </c>
      <c r="D356" s="226" t="str">
        <f>Truck!H59</f>
        <v>Dalian</v>
      </c>
      <c r="E356" s="226" t="str">
        <f>Truck!$G$5</f>
        <v>Erenhot</v>
      </c>
      <c r="F356" s="226" t="str">
        <f>Truck!C59</f>
        <v>Moscow（Москва）</v>
      </c>
      <c r="G356" s="230">
        <f>Truck!E59</f>
        <v>9000</v>
      </c>
      <c r="H356" s="225" t="s">
        <v>56</v>
      </c>
      <c r="I356" s="226"/>
      <c r="K356" s="205"/>
      <c r="M356" s="205"/>
      <c r="N356" s="236">
        <f t="shared" si="4"/>
        <v>45772</v>
      </c>
      <c r="O356" t="str">
        <f>Truck!F59</f>
        <v>18-20</v>
      </c>
      <c r="P356" s="237" t="str">
        <f t="shared" si="5"/>
        <v>2 дня после заявки</v>
      </c>
    </row>
    <row r="357" spans="1:16">
      <c r="A357" s="205" t="s">
        <v>350</v>
      </c>
      <c r="B357" s="205" t="s">
        <v>338</v>
      </c>
      <c r="C357" s="225" t="str">
        <f t="shared" si="3"/>
        <v>22т 82м3</v>
      </c>
      <c r="D357" s="226" t="str">
        <f>Truck!H60</f>
        <v>Dalian</v>
      </c>
      <c r="E357" s="226" t="str">
        <f>Truck!$G$5</f>
        <v>Erenhot</v>
      </c>
      <c r="F357" s="226" t="str">
        <f>Truck!C60</f>
        <v>St. Petersburg（Санкт-Петербург）</v>
      </c>
      <c r="G357" s="230">
        <f>Truck!E60</f>
        <v>9300</v>
      </c>
      <c r="H357" s="225" t="s">
        <v>56</v>
      </c>
      <c r="I357" s="226"/>
      <c r="K357" s="205"/>
      <c r="M357" s="205"/>
      <c r="N357" s="236">
        <f t="shared" si="4"/>
        <v>45772</v>
      </c>
      <c r="O357" t="str">
        <f>Truck!F60</f>
        <v>18-22</v>
      </c>
      <c r="P357" s="237" t="str">
        <f t="shared" si="5"/>
        <v>2 дня после заявки</v>
      </c>
    </row>
    <row r="358" spans="1:16">
      <c r="A358" s="205" t="s">
        <v>350</v>
      </c>
      <c r="B358" s="205" t="s">
        <v>338</v>
      </c>
      <c r="C358" s="225" t="str">
        <f t="shared" si="3"/>
        <v>22т 82м3</v>
      </c>
      <c r="D358" s="226" t="str">
        <f>Truck!H61</f>
        <v>Dalian</v>
      </c>
      <c r="E358" s="226" t="str">
        <f>Truck!$G$5</f>
        <v>Erenhot</v>
      </c>
      <c r="F358" s="226" t="str">
        <f>Truck!C61</f>
        <v>Novosibirsk（Новосибирск）</v>
      </c>
      <c r="G358" s="230">
        <f>Truck!E61</f>
        <v>7400</v>
      </c>
      <c r="H358" s="225" t="s">
        <v>56</v>
      </c>
      <c r="I358" s="226"/>
      <c r="K358" s="205"/>
      <c r="M358" s="205"/>
      <c r="N358" s="236">
        <f t="shared" si="4"/>
        <v>45772</v>
      </c>
      <c r="O358" t="str">
        <f>Truck!F61</f>
        <v>18-20</v>
      </c>
      <c r="P358" s="237" t="str">
        <f t="shared" si="5"/>
        <v>2 дня после заявки</v>
      </c>
    </row>
    <row r="359" spans="1:16">
      <c r="A359" s="205" t="s">
        <v>350</v>
      </c>
      <c r="B359" s="205" t="s">
        <v>338</v>
      </c>
      <c r="C359" s="225" t="str">
        <f t="shared" si="3"/>
        <v>22т 82м3</v>
      </c>
      <c r="D359" s="226" t="str">
        <f>Truck!H62</f>
        <v>Dalian</v>
      </c>
      <c r="E359" s="226" t="str">
        <f>Truck!$G$5</f>
        <v>Erenhot</v>
      </c>
      <c r="F359" s="226" t="str">
        <f>Truck!C62</f>
        <v>Minsk（Минск）</v>
      </c>
      <c r="G359" s="230">
        <f>Truck!E62</f>
        <v>9700</v>
      </c>
      <c r="H359" s="225" t="s">
        <v>56</v>
      </c>
      <c r="I359" s="226"/>
      <c r="K359" s="205"/>
      <c r="M359" s="205"/>
      <c r="N359" s="236">
        <f t="shared" si="4"/>
        <v>45772</v>
      </c>
      <c r="O359" t="str">
        <f>Truck!F62</f>
        <v>18-22</v>
      </c>
      <c r="P359" s="237" t="str">
        <f t="shared" si="5"/>
        <v>2 дня после заявки</v>
      </c>
    </row>
    <row r="360" spans="1:16">
      <c r="A360" s="205" t="s">
        <v>350</v>
      </c>
      <c r="B360" s="205" t="s">
        <v>338</v>
      </c>
      <c r="C360" s="225" t="str">
        <f t="shared" si="3"/>
        <v>22т 82м3</v>
      </c>
      <c r="D360" s="226" t="str">
        <f>Truck!H63</f>
        <v>Dalian</v>
      </c>
      <c r="E360" s="226" t="str">
        <f>Truck!$G$5</f>
        <v>Erenhot</v>
      </c>
      <c r="F360" s="226" t="str">
        <f>Truck!C63</f>
        <v>Chelyabinsk（Челябинск）</v>
      </c>
      <c r="G360" s="230">
        <f>Truck!E63</f>
        <v>7900</v>
      </c>
      <c r="H360" s="225" t="s">
        <v>56</v>
      </c>
      <c r="I360" s="226"/>
      <c r="K360" s="205"/>
      <c r="M360" s="205"/>
      <c r="N360" s="236">
        <f t="shared" si="4"/>
        <v>45772</v>
      </c>
      <c r="O360" t="str">
        <f>Truck!F63</f>
        <v>18-20</v>
      </c>
      <c r="P360" s="237" t="str">
        <f t="shared" si="5"/>
        <v>2 дня после заявки</v>
      </c>
    </row>
    <row r="361" spans="1:16">
      <c r="A361" s="205" t="s">
        <v>350</v>
      </c>
      <c r="B361" s="205" t="s">
        <v>338</v>
      </c>
      <c r="C361" s="225" t="str">
        <f t="shared" si="3"/>
        <v>22т 82м3</v>
      </c>
      <c r="D361" s="226" t="str">
        <f>Truck!H64</f>
        <v>Dalian</v>
      </c>
      <c r="E361" s="226" t="str">
        <f>Truck!$G$5</f>
        <v>Erenhot</v>
      </c>
      <c r="F361" s="226" t="str">
        <f>Truck!C64</f>
        <v>Nizhny Novgorod(Нижний Новгород)</v>
      </c>
      <c r="G361" s="230">
        <f>Truck!E64</f>
        <v>8700</v>
      </c>
      <c r="H361" s="225" t="s">
        <v>56</v>
      </c>
      <c r="I361" s="226"/>
      <c r="K361" s="205"/>
      <c r="M361" s="205"/>
      <c r="N361" s="236">
        <f t="shared" si="4"/>
        <v>45772</v>
      </c>
      <c r="O361" t="str">
        <f>Truck!F64</f>
        <v>18-20</v>
      </c>
      <c r="P361" s="237" t="str">
        <f t="shared" si="5"/>
        <v>2 дня после заявки</v>
      </c>
    </row>
    <row r="362" spans="1:16">
      <c r="A362" s="205" t="s">
        <v>350</v>
      </c>
      <c r="B362" s="205" t="s">
        <v>338</v>
      </c>
      <c r="C362" s="225" t="str">
        <f t="shared" si="3"/>
        <v>22т 82м3</v>
      </c>
      <c r="D362" s="226" t="str">
        <f>Truck!H65</f>
        <v>Dalian</v>
      </c>
      <c r="E362" s="226" t="str">
        <f>Truck!$G$5</f>
        <v>Erenhot</v>
      </c>
      <c r="F362" s="226" t="str">
        <f>Truck!C65</f>
        <v>Krasnoyar（Краснояр）</v>
      </c>
      <c r="G362" s="230">
        <f>Truck!E65</f>
        <v>7200</v>
      </c>
      <c r="H362" s="225" t="s">
        <v>56</v>
      </c>
      <c r="I362" s="226"/>
      <c r="K362" s="205"/>
      <c r="M362" s="205"/>
      <c r="N362" s="236">
        <f t="shared" si="4"/>
        <v>45772</v>
      </c>
      <c r="O362" t="str">
        <f>Truck!F65</f>
        <v>15-18</v>
      </c>
      <c r="P362" s="237" t="str">
        <f t="shared" si="5"/>
        <v>2 дня после заявки</v>
      </c>
    </row>
    <row r="363" spans="1:16">
      <c r="A363" s="205" t="s">
        <v>350</v>
      </c>
      <c r="B363" s="205" t="s">
        <v>338</v>
      </c>
      <c r="C363" s="225" t="str">
        <f t="shared" si="3"/>
        <v>22т 82м3</v>
      </c>
      <c r="D363" s="226" t="str">
        <f>Truck!H66</f>
        <v>Dalian</v>
      </c>
      <c r="E363" s="226" t="str">
        <f>Truck!$G$5</f>
        <v>Erenhot</v>
      </c>
      <c r="F363" s="226" t="str">
        <f>Truck!C66</f>
        <v>Irkutsk（Иркутск）</v>
      </c>
      <c r="G363" s="230">
        <f>Truck!E66</f>
        <v>6700</v>
      </c>
      <c r="H363" s="225" t="s">
        <v>56</v>
      </c>
      <c r="I363" s="226"/>
      <c r="K363" s="205"/>
      <c r="M363" s="205"/>
      <c r="N363" s="236">
        <f t="shared" si="4"/>
        <v>45772</v>
      </c>
      <c r="O363" t="str">
        <f>Truck!F66</f>
        <v>15-18</v>
      </c>
      <c r="P363" s="237" t="str">
        <f t="shared" si="5"/>
        <v>2 дня после заявки</v>
      </c>
    </row>
    <row r="364" spans="1:16">
      <c r="A364" s="205" t="s">
        <v>350</v>
      </c>
      <c r="B364" s="205" t="s">
        <v>338</v>
      </c>
      <c r="C364" s="225" t="str">
        <f t="shared" si="3"/>
        <v>22т 82м3</v>
      </c>
      <c r="D364" s="226" t="str">
        <f>Truck!H67</f>
        <v>Dalian</v>
      </c>
      <c r="E364" s="226" t="str">
        <f>Truck!$G$5</f>
        <v>Erenhot</v>
      </c>
      <c r="F364" s="226" t="str">
        <f>Truck!C67</f>
        <v>Novokuznetsk（Новокузнецк）</v>
      </c>
      <c r="G364" s="230">
        <f>Truck!E67</f>
        <v>7400</v>
      </c>
      <c r="H364" s="225" t="s">
        <v>56</v>
      </c>
      <c r="I364" s="226"/>
      <c r="K364" s="205"/>
      <c r="M364" s="205"/>
      <c r="N364" s="236">
        <f t="shared" si="4"/>
        <v>45772</v>
      </c>
      <c r="O364" t="str">
        <f>Truck!F67</f>
        <v>15-18</v>
      </c>
      <c r="P364" s="237" t="str">
        <f t="shared" si="5"/>
        <v>2 дня после заявки</v>
      </c>
    </row>
    <row r="365" spans="1:16">
      <c r="A365" s="205" t="s">
        <v>350</v>
      </c>
      <c r="B365" s="205" t="s">
        <v>338</v>
      </c>
      <c r="C365" s="225" t="str">
        <f t="shared" si="3"/>
        <v>22т 82м3</v>
      </c>
      <c r="D365" s="226" t="str">
        <f>Truck!H68</f>
        <v>Wuhan</v>
      </c>
      <c r="E365" s="226" t="str">
        <f>Truck!$G$5</f>
        <v>Erenhot</v>
      </c>
      <c r="F365" s="226" t="str">
        <f>Truck!C68</f>
        <v>Moscow（Москва）</v>
      </c>
      <c r="G365" s="230">
        <f>Truck!E68</f>
        <v>9600</v>
      </c>
      <c r="H365" s="225" t="s">
        <v>56</v>
      </c>
      <c r="I365" s="226"/>
      <c r="K365" s="205"/>
      <c r="M365" s="205"/>
      <c r="N365" s="236">
        <f t="shared" si="4"/>
        <v>45772</v>
      </c>
      <c r="O365" t="str">
        <f>Truck!F68</f>
        <v>18-20</v>
      </c>
      <c r="P365" s="237" t="str">
        <f t="shared" si="5"/>
        <v>2 дня после заявки</v>
      </c>
    </row>
    <row r="366" spans="1:16">
      <c r="A366" s="205" t="s">
        <v>350</v>
      </c>
      <c r="B366" s="205" t="s">
        <v>338</v>
      </c>
      <c r="C366" s="225" t="str">
        <f t="shared" si="3"/>
        <v>22т 82м3</v>
      </c>
      <c r="D366" s="226" t="str">
        <f>Truck!H69</f>
        <v>Wuhan</v>
      </c>
      <c r="E366" s="226" t="str">
        <f>Truck!$G$5</f>
        <v>Erenhot</v>
      </c>
      <c r="F366" s="226" t="str">
        <f>Truck!C69</f>
        <v>St. Petersburg（Санкт-Петербург）</v>
      </c>
      <c r="G366" s="230">
        <f>Truck!E69</f>
        <v>9900</v>
      </c>
      <c r="H366" s="225" t="s">
        <v>56</v>
      </c>
      <c r="I366" s="226"/>
      <c r="K366" s="205"/>
      <c r="M366" s="205"/>
      <c r="N366" s="236">
        <f t="shared" si="4"/>
        <v>45772</v>
      </c>
      <c r="O366" t="str">
        <f>Truck!F69</f>
        <v>18-20</v>
      </c>
      <c r="P366" s="237" t="str">
        <f t="shared" si="5"/>
        <v>2 дня после заявки</v>
      </c>
    </row>
    <row r="367" spans="1:16">
      <c r="A367" s="205" t="s">
        <v>350</v>
      </c>
      <c r="B367" s="205" t="s">
        <v>338</v>
      </c>
      <c r="C367" s="225" t="str">
        <f t="shared" si="3"/>
        <v>22т 82м3</v>
      </c>
      <c r="D367" s="226" t="str">
        <f>Truck!H70</f>
        <v>Wuhan</v>
      </c>
      <c r="E367" s="226" t="str">
        <f>Truck!$G$5</f>
        <v>Erenhot</v>
      </c>
      <c r="F367" s="226" t="str">
        <f>Truck!C70</f>
        <v>Novosibirsk（Новосибирск）</v>
      </c>
      <c r="G367" s="230">
        <f>Truck!E70</f>
        <v>8000</v>
      </c>
      <c r="H367" s="225" t="s">
        <v>56</v>
      </c>
      <c r="I367" s="226"/>
      <c r="K367" s="205"/>
      <c r="M367" s="205"/>
      <c r="N367" s="236">
        <f t="shared" si="4"/>
        <v>45772</v>
      </c>
      <c r="O367" t="str">
        <f>Truck!F70</f>
        <v>18-20</v>
      </c>
      <c r="P367" s="237" t="str">
        <f t="shared" si="5"/>
        <v>2 дня после заявки</v>
      </c>
    </row>
    <row r="368" spans="1:16">
      <c r="A368" s="205" t="s">
        <v>350</v>
      </c>
      <c r="B368" s="205" t="s">
        <v>338</v>
      </c>
      <c r="C368" s="225" t="str">
        <f t="shared" ref="C368:C381" si="6">$C$302</f>
        <v>22т 82м3</v>
      </c>
      <c r="D368" s="226" t="str">
        <f>Truck!H71</f>
        <v>Wuhan</v>
      </c>
      <c r="E368" s="226" t="str">
        <f>Truck!$G$5</f>
        <v>Erenhot</v>
      </c>
      <c r="F368" s="226" t="str">
        <f>Truck!C71</f>
        <v>Minsk（Минск）</v>
      </c>
      <c r="G368" s="230">
        <f>Truck!E71</f>
        <v>10300</v>
      </c>
      <c r="H368" s="225" t="s">
        <v>56</v>
      </c>
      <c r="I368" s="226"/>
      <c r="K368" s="205"/>
      <c r="M368" s="205"/>
      <c r="N368" s="236">
        <f t="shared" ref="N368:N382" si="7">$N$302</f>
        <v>45772</v>
      </c>
      <c r="O368" t="str">
        <f>Truck!F71</f>
        <v>18-22</v>
      </c>
      <c r="P368" s="237" t="str">
        <f t="shared" ref="P368:P382" si="8">$P$302</f>
        <v>2 дня после заявки</v>
      </c>
    </row>
    <row r="369" spans="1:16">
      <c r="A369" s="205" t="s">
        <v>350</v>
      </c>
      <c r="B369" s="205" t="s">
        <v>338</v>
      </c>
      <c r="C369" s="225" t="str">
        <f t="shared" si="6"/>
        <v>22т 82м3</v>
      </c>
      <c r="D369" s="226" t="str">
        <f>Truck!H72</f>
        <v>Wuhan</v>
      </c>
      <c r="E369" s="226" t="str">
        <f>Truck!$G$5</f>
        <v>Erenhot</v>
      </c>
      <c r="F369" s="226" t="str">
        <f>Truck!C72</f>
        <v>Chelyabinsk（Челябинск）</v>
      </c>
      <c r="G369" s="230">
        <f>Truck!E72</f>
        <v>8500</v>
      </c>
      <c r="H369" s="225" t="s">
        <v>56</v>
      </c>
      <c r="I369" s="226"/>
      <c r="K369" s="205"/>
      <c r="M369" s="205"/>
      <c r="N369" s="236">
        <f t="shared" si="7"/>
        <v>45772</v>
      </c>
      <c r="O369" t="str">
        <f>Truck!F72</f>
        <v>18-20</v>
      </c>
      <c r="P369" s="237" t="str">
        <f t="shared" si="8"/>
        <v>2 дня после заявки</v>
      </c>
    </row>
    <row r="370" spans="1:16">
      <c r="A370" s="205" t="s">
        <v>350</v>
      </c>
      <c r="B370" s="205" t="s">
        <v>338</v>
      </c>
      <c r="C370" s="225" t="str">
        <f t="shared" si="6"/>
        <v>22т 82м3</v>
      </c>
      <c r="D370" s="226" t="str">
        <f>Truck!H73</f>
        <v>Wuhan</v>
      </c>
      <c r="E370" s="226" t="str">
        <f>Truck!$G$5</f>
        <v>Erenhot</v>
      </c>
      <c r="F370" s="226" t="str">
        <f>Truck!C73</f>
        <v>Nizhny Novgorod(Нижний Новгород)</v>
      </c>
      <c r="G370" s="230">
        <f>Truck!E73</f>
        <v>9300</v>
      </c>
      <c r="H370" s="225" t="s">
        <v>56</v>
      </c>
      <c r="I370" s="226"/>
      <c r="K370" s="205"/>
      <c r="M370" s="205"/>
      <c r="N370" s="236">
        <f t="shared" si="7"/>
        <v>45772</v>
      </c>
      <c r="O370" t="str">
        <f>Truck!F73</f>
        <v>18-20</v>
      </c>
      <c r="P370" s="237" t="str">
        <f t="shared" si="8"/>
        <v>2 дня после заявки</v>
      </c>
    </row>
    <row r="371" spans="1:16">
      <c r="A371" s="205" t="s">
        <v>350</v>
      </c>
      <c r="B371" s="205" t="s">
        <v>338</v>
      </c>
      <c r="C371" s="225" t="str">
        <f t="shared" si="6"/>
        <v>22т 82м3</v>
      </c>
      <c r="D371" s="226" t="str">
        <f>Truck!H74</f>
        <v>Wuhan</v>
      </c>
      <c r="E371" s="226" t="str">
        <f>Truck!$G$5</f>
        <v>Erenhot</v>
      </c>
      <c r="F371" s="226" t="str">
        <f>Truck!C74</f>
        <v>Krasnoyar（Краснояр）</v>
      </c>
      <c r="G371" s="230">
        <f>Truck!E74</f>
        <v>7800</v>
      </c>
      <c r="H371" s="225" t="s">
        <v>56</v>
      </c>
      <c r="I371" s="226"/>
      <c r="K371" s="205"/>
      <c r="M371" s="205"/>
      <c r="N371" s="236">
        <f t="shared" si="7"/>
        <v>45772</v>
      </c>
      <c r="O371" t="str">
        <f>Truck!F74</f>
        <v>15-18</v>
      </c>
      <c r="P371" s="237" t="str">
        <f t="shared" si="8"/>
        <v>2 дня после заявки</v>
      </c>
    </row>
    <row r="372" spans="1:16">
      <c r="A372" s="205" t="s">
        <v>350</v>
      </c>
      <c r="B372" s="205" t="s">
        <v>338</v>
      </c>
      <c r="C372" s="225" t="str">
        <f t="shared" si="6"/>
        <v>22т 82м3</v>
      </c>
      <c r="D372" s="226" t="str">
        <f>Truck!H75</f>
        <v>Wuhan</v>
      </c>
      <c r="E372" s="226" t="str">
        <f>Truck!$G$5</f>
        <v>Erenhot</v>
      </c>
      <c r="F372" s="226" t="str">
        <f>Truck!C75</f>
        <v>Irkutsk（Иркутск）</v>
      </c>
      <c r="G372" s="230">
        <f>Truck!E75</f>
        <v>7300</v>
      </c>
      <c r="H372" s="225" t="s">
        <v>56</v>
      </c>
      <c r="I372" s="226"/>
      <c r="K372" s="205"/>
      <c r="M372" s="205"/>
      <c r="N372" s="236">
        <f t="shared" si="7"/>
        <v>45772</v>
      </c>
      <c r="O372" t="str">
        <f>Truck!F75</f>
        <v>15-18</v>
      </c>
      <c r="P372" s="237" t="str">
        <f t="shared" si="8"/>
        <v>2 дня после заявки</v>
      </c>
    </row>
    <row r="373" spans="1:16">
      <c r="A373" s="205" t="s">
        <v>350</v>
      </c>
      <c r="B373" s="205" t="s">
        <v>338</v>
      </c>
      <c r="C373" s="225" t="str">
        <f t="shared" si="6"/>
        <v>22т 82м3</v>
      </c>
      <c r="D373" s="226" t="str">
        <f>Truck!H76</f>
        <v>Wuhan</v>
      </c>
      <c r="E373" s="226" t="str">
        <f>Truck!$G$5</f>
        <v>Erenhot</v>
      </c>
      <c r="F373" s="226" t="str">
        <f>Truck!C76</f>
        <v>Novokuznetsk（Новокузнецк）</v>
      </c>
      <c r="G373" s="230">
        <f>Truck!E76</f>
        <v>8000</v>
      </c>
      <c r="H373" s="225" t="s">
        <v>56</v>
      </c>
      <c r="I373" s="226"/>
      <c r="K373" s="205"/>
      <c r="M373" s="205"/>
      <c r="N373" s="236">
        <f t="shared" si="7"/>
        <v>45772</v>
      </c>
      <c r="O373" t="str">
        <f>Truck!F76</f>
        <v>15-18</v>
      </c>
      <c r="P373" s="237" t="str">
        <f t="shared" si="8"/>
        <v>2 дня после заявки</v>
      </c>
    </row>
    <row r="374" spans="1:16">
      <c r="A374" s="205" t="s">
        <v>350</v>
      </c>
      <c r="B374" s="205" t="s">
        <v>338</v>
      </c>
      <c r="C374" s="225" t="str">
        <f t="shared" si="6"/>
        <v>22т 82м3</v>
      </c>
      <c r="D374" s="226" t="str">
        <f>Truck!H77</f>
        <v>Chongqing</v>
      </c>
      <c r="E374" s="226" t="str">
        <f>Truck!$G$5</f>
        <v>Erenhot</v>
      </c>
      <c r="F374" s="226" t="str">
        <f>Truck!C77</f>
        <v>Moscow（Москва）</v>
      </c>
      <c r="G374" s="230">
        <f>Truck!E77</f>
        <v>9600</v>
      </c>
      <c r="H374" s="225" t="s">
        <v>56</v>
      </c>
      <c r="I374" s="226"/>
      <c r="K374" s="205"/>
      <c r="M374" s="205"/>
      <c r="N374" s="236">
        <f t="shared" si="7"/>
        <v>45772</v>
      </c>
      <c r="O374" t="str">
        <f>Truck!F77</f>
        <v>18-20</v>
      </c>
      <c r="P374" s="237" t="str">
        <f t="shared" si="8"/>
        <v>2 дня после заявки</v>
      </c>
    </row>
    <row r="375" spans="1:16">
      <c r="A375" s="205" t="s">
        <v>350</v>
      </c>
      <c r="B375" s="205" t="s">
        <v>338</v>
      </c>
      <c r="C375" s="225" t="str">
        <f t="shared" si="6"/>
        <v>22т 82м3</v>
      </c>
      <c r="D375" s="226" t="str">
        <f>Truck!H78</f>
        <v>Chongqing</v>
      </c>
      <c r="E375" s="226" t="str">
        <f>Truck!$G$5</f>
        <v>Erenhot</v>
      </c>
      <c r="F375" s="226" t="str">
        <f>Truck!C78</f>
        <v>St. Petersburg（Санкт-Петербург）</v>
      </c>
      <c r="G375" s="230">
        <f>Truck!E78</f>
        <v>9900</v>
      </c>
      <c r="H375" s="225" t="s">
        <v>56</v>
      </c>
      <c r="I375" s="226"/>
      <c r="K375" s="205"/>
      <c r="M375" s="205"/>
      <c r="N375" s="236">
        <f t="shared" si="7"/>
        <v>45772</v>
      </c>
      <c r="O375" t="str">
        <f>Truck!F78</f>
        <v>18-22</v>
      </c>
      <c r="P375" s="237" t="str">
        <f t="shared" si="8"/>
        <v>2 дня после заявки</v>
      </c>
    </row>
    <row r="376" spans="1:16">
      <c r="A376" s="205" t="s">
        <v>350</v>
      </c>
      <c r="B376" s="205" t="s">
        <v>338</v>
      </c>
      <c r="C376" s="225" t="str">
        <f t="shared" si="6"/>
        <v>22т 82м3</v>
      </c>
      <c r="D376" s="226" t="str">
        <f>Truck!H79</f>
        <v>Chongqing</v>
      </c>
      <c r="E376" s="226" t="str">
        <f>Truck!$G$5</f>
        <v>Erenhot</v>
      </c>
      <c r="F376" s="226" t="str">
        <f>Truck!C79</f>
        <v>Novosibirsk（Новосибирск）</v>
      </c>
      <c r="G376" s="230">
        <f>Truck!E79</f>
        <v>8000</v>
      </c>
      <c r="H376" s="225" t="s">
        <v>56</v>
      </c>
      <c r="I376" s="226"/>
      <c r="K376" s="205"/>
      <c r="M376" s="205"/>
      <c r="N376" s="236">
        <f t="shared" si="7"/>
        <v>45772</v>
      </c>
      <c r="O376" t="str">
        <f>Truck!F79</f>
        <v>18-20</v>
      </c>
      <c r="P376" s="237" t="str">
        <f t="shared" si="8"/>
        <v>2 дня после заявки</v>
      </c>
    </row>
    <row r="377" spans="1:16">
      <c r="A377" s="205" t="s">
        <v>350</v>
      </c>
      <c r="B377" s="205" t="s">
        <v>338</v>
      </c>
      <c r="C377" s="225" t="str">
        <f t="shared" si="6"/>
        <v>22т 82м3</v>
      </c>
      <c r="D377" s="226" t="str">
        <f>Truck!H80</f>
        <v>Chongqing</v>
      </c>
      <c r="E377" s="226" t="str">
        <f>Truck!$G$5</f>
        <v>Erenhot</v>
      </c>
      <c r="F377" s="226" t="str">
        <f>Truck!C80</f>
        <v>Minsk（Минск）</v>
      </c>
      <c r="G377" s="230">
        <f>Truck!E80</f>
        <v>10300</v>
      </c>
      <c r="H377" s="225" t="s">
        <v>56</v>
      </c>
      <c r="I377" s="226"/>
      <c r="K377" s="205"/>
      <c r="M377" s="205"/>
      <c r="N377" s="236">
        <f t="shared" si="7"/>
        <v>45772</v>
      </c>
      <c r="O377" t="str">
        <f>Truck!F80</f>
        <v>18-22</v>
      </c>
      <c r="P377" s="237" t="str">
        <f t="shared" si="8"/>
        <v>2 дня после заявки</v>
      </c>
    </row>
    <row r="378" spans="1:16">
      <c r="A378" s="205" t="s">
        <v>350</v>
      </c>
      <c r="B378" s="205" t="s">
        <v>338</v>
      </c>
      <c r="C378" s="225" t="str">
        <f t="shared" si="6"/>
        <v>22т 82м3</v>
      </c>
      <c r="D378" s="226" t="str">
        <f>Truck!H81</f>
        <v>Chongqing</v>
      </c>
      <c r="E378" s="226" t="str">
        <f>Truck!$G$5</f>
        <v>Erenhot</v>
      </c>
      <c r="F378" s="226" t="str">
        <f>Truck!C81</f>
        <v>Chelyabinsk（Челябинск）</v>
      </c>
      <c r="G378" s="230">
        <f>Truck!E81</f>
        <v>8500</v>
      </c>
      <c r="H378" s="225" t="s">
        <v>56</v>
      </c>
      <c r="I378" s="226"/>
      <c r="K378" s="205"/>
      <c r="M378" s="205"/>
      <c r="N378" s="236">
        <f t="shared" si="7"/>
        <v>45772</v>
      </c>
      <c r="O378" t="str">
        <f>Truck!F81</f>
        <v>18-20</v>
      </c>
      <c r="P378" s="237" t="str">
        <f t="shared" si="8"/>
        <v>2 дня после заявки</v>
      </c>
    </row>
    <row r="379" spans="1:16">
      <c r="A379" s="205" t="s">
        <v>350</v>
      </c>
      <c r="B379" s="205" t="s">
        <v>338</v>
      </c>
      <c r="C379" s="225" t="str">
        <f t="shared" si="6"/>
        <v>22т 82м3</v>
      </c>
      <c r="D379" s="226" t="str">
        <f>Truck!H82</f>
        <v>Chongqing</v>
      </c>
      <c r="E379" s="226" t="str">
        <f>Truck!$G$5</f>
        <v>Erenhot</v>
      </c>
      <c r="F379" s="226" t="str">
        <f>Truck!C82</f>
        <v>Nizhny Novgorod(Нижний Новгород)</v>
      </c>
      <c r="G379" s="230">
        <f>Truck!E82</f>
        <v>9300</v>
      </c>
      <c r="H379" s="225" t="s">
        <v>56</v>
      </c>
      <c r="I379" s="226"/>
      <c r="K379" s="205"/>
      <c r="M379" s="205"/>
      <c r="N379" s="236">
        <f t="shared" si="7"/>
        <v>45772</v>
      </c>
      <c r="O379" t="str">
        <f>Truck!F82</f>
        <v>18-20</v>
      </c>
      <c r="P379" s="237" t="str">
        <f t="shared" si="8"/>
        <v>2 дня после заявки</v>
      </c>
    </row>
    <row r="380" spans="1:16">
      <c r="A380" s="205" t="s">
        <v>350</v>
      </c>
      <c r="B380" s="205" t="s">
        <v>338</v>
      </c>
      <c r="C380" s="225" t="str">
        <f t="shared" si="6"/>
        <v>22т 82м3</v>
      </c>
      <c r="D380" s="226" t="str">
        <f>Truck!H83</f>
        <v>Chongqing</v>
      </c>
      <c r="E380" s="226" t="str">
        <f>Truck!$G$5</f>
        <v>Erenhot</v>
      </c>
      <c r="F380" s="226" t="str">
        <f>Truck!C83</f>
        <v>Krasnoyar（Краснояр）</v>
      </c>
      <c r="G380" s="230">
        <f>Truck!E83</f>
        <v>7800</v>
      </c>
      <c r="H380" s="225" t="s">
        <v>56</v>
      </c>
      <c r="I380" s="226"/>
      <c r="K380" s="205"/>
      <c r="M380" s="205"/>
      <c r="N380" s="236">
        <f t="shared" si="7"/>
        <v>45772</v>
      </c>
      <c r="O380" t="str">
        <f>Truck!F83</f>
        <v>15-18</v>
      </c>
      <c r="P380" s="237" t="str">
        <f t="shared" si="8"/>
        <v>2 дня после заявки</v>
      </c>
    </row>
    <row r="381" spans="1:16">
      <c r="A381" s="205" t="s">
        <v>350</v>
      </c>
      <c r="B381" s="205" t="s">
        <v>338</v>
      </c>
      <c r="C381" s="225" t="str">
        <f t="shared" si="6"/>
        <v>22т 82м3</v>
      </c>
      <c r="D381" s="226" t="str">
        <f>Truck!H84</f>
        <v>Chongqing</v>
      </c>
      <c r="E381" s="226" t="str">
        <f>Truck!$G$5</f>
        <v>Erenhot</v>
      </c>
      <c r="F381" s="226" t="str">
        <f>Truck!C84</f>
        <v>Irkutsk（Иркутск）</v>
      </c>
      <c r="G381" s="230">
        <f>Truck!E84</f>
        <v>7300</v>
      </c>
      <c r="H381" s="225" t="s">
        <v>56</v>
      </c>
      <c r="I381" s="226"/>
      <c r="K381" s="205"/>
      <c r="M381" s="205"/>
      <c r="N381" s="236">
        <f t="shared" si="7"/>
        <v>45772</v>
      </c>
      <c r="O381" t="str">
        <f>Truck!F84</f>
        <v>15-18</v>
      </c>
      <c r="P381" s="237" t="str">
        <f t="shared" si="8"/>
        <v>2 дня после заявки</v>
      </c>
    </row>
    <row r="382" spans="1:16">
      <c r="A382" s="205" t="s">
        <v>350</v>
      </c>
      <c r="B382" s="205" t="s">
        <v>338</v>
      </c>
      <c r="C382" s="225" t="str">
        <f>$C$302</f>
        <v>22т 82м3</v>
      </c>
      <c r="D382" s="226" t="str">
        <f>Truck!H85</f>
        <v>Chongqing</v>
      </c>
      <c r="E382" s="226" t="str">
        <f>Truck!$G$5</f>
        <v>Erenhot</v>
      </c>
      <c r="F382" s="226" t="str">
        <f>Truck!C85</f>
        <v>Novokuznetsk（Новокузнецк）</v>
      </c>
      <c r="G382" s="230">
        <f>Truck!E85</f>
        <v>8000</v>
      </c>
      <c r="H382" s="225" t="s">
        <v>56</v>
      </c>
      <c r="I382" s="226"/>
      <c r="K382" s="205"/>
      <c r="M382" s="205"/>
      <c r="N382" s="236">
        <f t="shared" si="7"/>
        <v>45772</v>
      </c>
      <c r="O382" t="str">
        <f>Truck!F85</f>
        <v>15-18</v>
      </c>
      <c r="P382" s="237" t="str">
        <f t="shared" si="8"/>
        <v>2 дня после заявки</v>
      </c>
    </row>
    <row r="383" spans="1:16">
      <c r="A383" s="205"/>
      <c r="B383" s="205"/>
      <c r="C383" s="225"/>
      <c r="D383" s="226"/>
      <c r="E383" s="226"/>
      <c r="F383" s="226"/>
      <c r="G383" s="230"/>
      <c r="H383" s="225"/>
      <c r="I383" s="226"/>
      <c r="K383" s="205"/>
      <c r="M383" s="205"/>
      <c r="N383" s="236"/>
      <c r="P383" s="237"/>
    </row>
    <row r="384" spans="1:16">
      <c r="A384" s="205"/>
      <c r="B384" s="205"/>
      <c r="C384" s="225"/>
      <c r="D384" s="226"/>
      <c r="E384" s="226"/>
      <c r="F384" s="226"/>
      <c r="G384" s="230"/>
      <c r="H384" s="225"/>
      <c r="I384" s="226"/>
      <c r="K384" s="205"/>
      <c r="M384" s="205"/>
      <c r="N384" s="236"/>
      <c r="P384" s="237"/>
    </row>
    <row r="385" spans="1:16">
      <c r="A385" s="205"/>
      <c r="B385" s="205"/>
      <c r="C385" s="225"/>
      <c r="D385" s="226"/>
      <c r="E385" s="226"/>
      <c r="F385" s="226"/>
      <c r="G385" s="230"/>
      <c r="H385" s="225"/>
      <c r="I385" s="226"/>
      <c r="K385" s="205"/>
      <c r="M385" s="205"/>
      <c r="N385" s="236"/>
      <c r="P385" s="237"/>
    </row>
    <row r="386" spans="1:16">
      <c r="A386" s="205"/>
      <c r="B386" s="205"/>
      <c r="C386" s="225"/>
      <c r="D386" s="226"/>
      <c r="E386" s="226"/>
      <c r="F386" s="226"/>
      <c r="G386" s="230"/>
      <c r="H386" s="225"/>
      <c r="I386" s="226"/>
      <c r="K386" s="205"/>
      <c r="M386" s="205"/>
      <c r="N386" s="236"/>
      <c r="P386" s="237"/>
    </row>
    <row r="387" spans="1:16">
      <c r="A387" s="205"/>
      <c r="B387" s="205"/>
      <c r="C387" s="225"/>
      <c r="D387" s="226"/>
      <c r="E387" s="226"/>
      <c r="F387" s="226"/>
      <c r="G387" s="230"/>
      <c r="H387" s="225"/>
      <c r="I387" s="226"/>
      <c r="K387" s="205"/>
      <c r="M387" s="205"/>
      <c r="N387" s="236"/>
      <c r="P387" s="237"/>
    </row>
    <row r="388" spans="1:16">
      <c r="A388" s="205"/>
      <c r="B388" s="205"/>
      <c r="C388" s="225"/>
      <c r="D388" s="226"/>
      <c r="E388" s="226"/>
      <c r="F388" s="226"/>
      <c r="G388" s="230"/>
      <c r="H388" s="225"/>
      <c r="I388" s="226"/>
      <c r="K388" s="205"/>
      <c r="M388" s="205"/>
      <c r="N388" s="236"/>
      <c r="P388" s="237"/>
    </row>
    <row r="389" spans="1:16">
      <c r="A389" s="205"/>
      <c r="B389" s="205"/>
      <c r="C389" s="225"/>
      <c r="D389" s="226"/>
      <c r="E389" s="226"/>
      <c r="F389" s="226"/>
      <c r="G389" s="230"/>
      <c r="H389" s="225"/>
      <c r="I389" s="226"/>
      <c r="K389" s="205"/>
      <c r="M389" s="205"/>
      <c r="N389" s="236"/>
      <c r="P389" s="237"/>
    </row>
    <row r="390" spans="1:16">
      <c r="A390" s="205"/>
      <c r="B390" s="205"/>
      <c r="C390" s="225"/>
      <c r="D390" s="226"/>
      <c r="E390" s="226"/>
      <c r="F390" s="226"/>
      <c r="G390" s="230"/>
      <c r="H390" s="225"/>
      <c r="I390" s="226"/>
      <c r="K390" s="205"/>
      <c r="M390" s="205"/>
      <c r="N390" s="236"/>
      <c r="P390" s="237"/>
    </row>
    <row r="391" spans="1:16">
      <c r="A391" s="205"/>
      <c r="B391" s="205"/>
      <c r="C391" s="225"/>
      <c r="D391" s="226"/>
      <c r="E391" s="226"/>
      <c r="F391" s="226"/>
      <c r="G391" s="230"/>
      <c r="H391" s="225"/>
      <c r="I391" s="226"/>
      <c r="K391" s="205"/>
      <c r="M391" s="205"/>
      <c r="N391" s="236"/>
      <c r="P391" s="237"/>
    </row>
    <row r="392" spans="1:16">
      <c r="A392" s="205"/>
      <c r="B392" s="205"/>
      <c r="C392" s="225"/>
      <c r="D392" s="226"/>
      <c r="E392" s="226"/>
      <c r="F392" s="226"/>
      <c r="G392" s="230"/>
      <c r="H392" s="225"/>
      <c r="I392" s="226"/>
      <c r="K392" s="205"/>
      <c r="M392" s="205"/>
      <c r="N392" s="236"/>
      <c r="P392" s="237"/>
    </row>
    <row r="393" spans="1:16">
      <c r="A393" s="205"/>
      <c r="B393" s="205"/>
      <c r="C393" s="225"/>
      <c r="D393" s="226"/>
      <c r="E393" s="226"/>
      <c r="F393" s="226"/>
      <c r="G393" s="230"/>
      <c r="H393" s="225"/>
      <c r="I393" s="226"/>
      <c r="K393" s="205"/>
      <c r="M393" s="205"/>
      <c r="N393" s="236"/>
      <c r="P393" s="237"/>
    </row>
    <row r="394" spans="1:16">
      <c r="A394" s="205"/>
      <c r="B394" s="205"/>
      <c r="C394" s="225"/>
      <c r="D394" s="226"/>
      <c r="E394" s="226"/>
      <c r="F394" s="226"/>
      <c r="G394" s="230"/>
      <c r="H394" s="225"/>
      <c r="I394" s="226"/>
      <c r="K394" s="205"/>
      <c r="M394" s="205"/>
      <c r="N394" s="236"/>
      <c r="P394" s="237"/>
    </row>
    <row r="395" spans="1:16">
      <c r="A395" s="205"/>
      <c r="B395" s="205"/>
      <c r="C395" s="225"/>
      <c r="D395" s="226"/>
      <c r="E395" s="226"/>
      <c r="F395" s="226"/>
      <c r="G395" s="230"/>
      <c r="H395" s="225"/>
      <c r="I395" s="226"/>
      <c r="K395" s="205"/>
      <c r="M395" s="205"/>
      <c r="N395" s="236"/>
      <c r="P395" s="237"/>
    </row>
    <row r="396" spans="1:16">
      <c r="A396" s="205"/>
      <c r="B396" s="205"/>
      <c r="C396" s="225"/>
      <c r="D396" s="226"/>
      <c r="E396" s="226"/>
      <c r="F396" s="226"/>
      <c r="G396" s="230"/>
      <c r="H396" s="225"/>
      <c r="I396" s="226"/>
      <c r="K396" s="205"/>
      <c r="M396" s="205"/>
      <c r="N396" s="236"/>
      <c r="P396" s="237"/>
    </row>
    <row r="397" spans="1:16">
      <c r="A397" s="205"/>
      <c r="B397" s="205"/>
      <c r="C397" s="225"/>
      <c r="D397" s="226"/>
      <c r="E397" s="226"/>
      <c r="F397" s="226"/>
      <c r="G397" s="230"/>
      <c r="H397" s="225"/>
      <c r="I397" s="226"/>
      <c r="K397" s="205"/>
      <c r="M397" s="205"/>
      <c r="N397" s="236"/>
      <c r="P397" s="237"/>
    </row>
  </sheetData>
  <phoneticPr fontId="3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5</vt:i4>
      </vt:variant>
    </vt:vector>
  </HeadingPairs>
  <TitlesOfParts>
    <vt:vector size="5" baseType="lpstr">
      <vt:lpstr>Sea (FOB)</vt:lpstr>
      <vt:lpstr>Rail (EXW)</vt:lpstr>
      <vt:lpstr>Truck</vt:lpstr>
      <vt:lpstr>Southeast Asia - Russia</vt:lpstr>
      <vt:lpstr>для калькулятора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Microsoft Office User</cp:lastModifiedBy>
  <dcterms:created xsi:type="dcterms:W3CDTF">2025-02-17T07:26:00Z</dcterms:created>
  <dcterms:modified xsi:type="dcterms:W3CDTF">2025-07-12T12:06:52Z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676BB623CB1E413A8A536076FEC8937A_11</vt:lpwstr>
  </property>
  <property fmtid="{D5CDD505-2E9C-101B-9397-08002B2CF9AE}" pid="3" name="KSOProductBuildVer">
    <vt:lpwstr>2052-12.1.0.20784</vt:lpwstr>
  </property>
</Properties>
</file>